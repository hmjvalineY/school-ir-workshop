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盤點表" sheetId="1" state="visible" r:id="rId1"/>
    <sheet xmlns:r="http://schemas.openxmlformats.org/officeDocument/2006/relationships" name="資料字典" sheetId="2" state="visible" r:id="rId2"/>
    <sheet xmlns:r="http://schemas.openxmlformats.org/officeDocument/2006/relationships" name="清洗規則表" sheetId="3" state="visible" r:id="rId3"/>
    <sheet xmlns:r="http://schemas.openxmlformats.org/officeDocument/2006/relationships" name="來源狀態表" sheetId="4" state="visible" r:id="rId4"/>
    <sheet xmlns:r="http://schemas.openxmlformats.org/officeDocument/2006/relationships" name="資料維護行事曆" sheetId="5" state="visible" r:id="rId5"/>
  </sheets>
  <definedNames>
    <definedName name="_xlnm._FilterDatabase" localSheetId="0" hidden="1">'資料盤點表'!$A$3:$M$65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i val="1"/>
      <color rgb="005D708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F1F0"/>
        </patternFill>
      </fill>
    </dxf>
    <dxf>
      <fill>
        <patternFill patternType="solid">
          <fgColor rgb="00FDF3E0"/>
        </patternFill>
      </fill>
    </dxf>
    <dxf>
      <fill>
        <patternFill patternType="solid">
          <fgColor rgb="00EAF7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40" customWidth="1" min="4" max="4"/>
    <col width="24" customWidth="1" min="5" max="5"/>
    <col width="16" customWidth="1" min="6" max="6"/>
    <col width="16" customWidth="1" min="7" max="7"/>
    <col width="12" customWidth="1" min="8" max="8"/>
    <col width="14" customWidth="1" min="9" max="9"/>
    <col width="14" customWidth="1" min="10" max="10"/>
    <col width="9" customWidth="1" min="11" max="11"/>
    <col width="10" customWidth="1" min="12" max="12"/>
    <col width="30" customWidth="1" min="13" max="13"/>
  </cols>
  <sheetData>
    <row r="1">
      <c r="A1" s="1" t="inlineStr">
        <is>
          <t>已預填 62 項（細項說明見《高中校務研究資料盤點清冊》）。回校先填「本校系統名稱」「持有人」「取得方式」「已確認欄位」四欄。</t>
        </is>
      </c>
    </row>
    <row r="3">
      <c r="A3" s="2" t="inlineStr">
        <is>
          <t>代號</t>
        </is>
      </c>
      <c r="B3" s="2" t="inlineStr">
        <is>
          <t>資料類別</t>
        </is>
      </c>
      <c r="C3" s="2" t="inlineStr">
        <is>
          <t>資料項目</t>
        </is>
      </c>
      <c r="D3" s="2" t="inlineStr">
        <is>
          <t>主要欄位</t>
        </is>
      </c>
      <c r="E3" s="2" t="inlineStr">
        <is>
          <t>一般來源系統</t>
        </is>
      </c>
      <c r="F3" s="2" t="inlineStr">
        <is>
          <t>本校系統名稱</t>
        </is>
      </c>
      <c r="G3" s="2" t="inlineStr">
        <is>
          <t>持有處室</t>
        </is>
      </c>
      <c r="H3" s="2" t="inlineStr">
        <is>
          <t>持有人（姓名）</t>
        </is>
      </c>
      <c r="I3" s="2" t="inlineStr">
        <is>
          <t>更新頻率</t>
        </is>
      </c>
      <c r="J3" s="2" t="inlineStr">
        <is>
          <t>取得方式</t>
        </is>
      </c>
      <c r="K3" s="2" t="inlineStr">
        <is>
          <t>敏感度</t>
        </is>
      </c>
      <c r="L3" s="2" t="inlineStr">
        <is>
          <t>已確認欄位</t>
        </is>
      </c>
      <c r="M3" s="2" t="inlineStr">
        <is>
          <t>校務研究用途</t>
        </is>
      </c>
    </row>
    <row r="4">
      <c r="A4" s="3" t="inlineStr">
        <is>
          <t>A01</t>
        </is>
      </c>
      <c r="B4" s="3" t="inlineStr">
        <is>
          <t>學生基本與學籍</t>
        </is>
      </c>
      <c r="C4" s="3" t="inlineStr">
        <is>
          <t>在學學生名冊</t>
        </is>
      </c>
      <c r="D4" s="3" t="inlineStr">
        <is>
          <t>學號、班級、座號、性別、入學學年、在學狀態</t>
        </is>
      </c>
      <c r="E4" s="3" t="inlineStr">
        <is>
          <t>校務行政系統　學籍模組</t>
        </is>
      </c>
      <c r="F4" s="3" t="inlineStr"/>
      <c r="G4" s="3" t="inlineStr">
        <is>
          <t>註冊組</t>
        </is>
      </c>
      <c r="H4" s="3" t="inlineStr"/>
      <c r="I4" s="3" t="inlineStr">
        <is>
          <t>每學期＋異動時</t>
        </is>
      </c>
      <c r="J4" s="3" t="inlineStr"/>
      <c r="K4" s="3" t="inlineStr">
        <is>
          <t>個人</t>
        </is>
      </c>
      <c r="L4" s="3" t="inlineStr"/>
      <c r="M4" s="3" t="inlineStr">
        <is>
          <t>所有分析的分母；學期快照的來源</t>
        </is>
      </c>
    </row>
    <row r="5">
      <c r="A5" s="3" t="inlineStr">
        <is>
          <t>A02</t>
        </is>
      </c>
      <c r="B5" s="3" t="inlineStr">
        <is>
          <t>學生基本與學籍</t>
        </is>
      </c>
      <c r="C5" s="3" t="inlineStr">
        <is>
          <t>入學管道與入學成績</t>
        </is>
      </c>
      <c r="D5" s="3" t="inlineStr">
        <is>
          <t>入學管道（免試、特色招生、直升等）、會考各科等級或特招成績（依管道可取得程度不同）</t>
        </is>
      </c>
      <c r="E5" s="3" t="inlineStr">
        <is>
          <t>新生報到資料、校務系統</t>
        </is>
      </c>
      <c r="F5" s="3" t="inlineStr"/>
      <c r="G5" s="3" t="inlineStr">
        <is>
          <t>註冊組、試務</t>
        </is>
      </c>
      <c r="H5" s="3" t="inlineStr"/>
      <c r="I5" s="3" t="inlineStr">
        <is>
          <t>每年入學時</t>
        </is>
      </c>
      <c r="J5" s="3" t="inlineStr"/>
      <c r="K5" s="3" t="inlineStr">
        <is>
          <t>個人</t>
        </is>
      </c>
      <c r="L5" s="3" t="inlineStr"/>
      <c r="M5" s="3" t="inlineStr">
        <is>
          <t>學生起點分組；比較不同管道學生的學習軌跡</t>
        </is>
      </c>
    </row>
    <row r="6">
      <c r="A6" s="3" t="inlineStr">
        <is>
          <t>A03</t>
        </is>
      </c>
      <c r="B6" s="3" t="inlineStr">
        <is>
          <t>學生基本與學籍</t>
        </is>
      </c>
      <c r="C6" s="3" t="inlineStr">
        <is>
          <t>學籍異動</t>
        </is>
      </c>
      <c r="D6" s="3" t="inlineStr">
        <is>
          <t>異動類別（轉入、轉出、休學、復學、退學、轉班）、日期、原因類別</t>
        </is>
      </c>
      <c r="E6" s="3" t="inlineStr">
        <is>
          <t>校務行政系統　學籍模組</t>
        </is>
      </c>
      <c r="F6" s="3" t="inlineStr"/>
      <c r="G6" s="3" t="inlineStr">
        <is>
          <t>註冊組</t>
        </is>
      </c>
      <c r="H6" s="3" t="inlineStr"/>
      <c r="I6" s="3" t="inlineStr">
        <is>
          <t>異動時</t>
        </is>
      </c>
      <c r="J6" s="3" t="inlineStr"/>
      <c r="K6" s="3" t="inlineStr">
        <is>
          <t>個人</t>
        </is>
      </c>
      <c r="L6" s="3" t="inlineStr"/>
      <c r="M6" s="3" t="inlineStr">
        <is>
          <t>流失率與原因分析；對照表與名冊的更新依據</t>
        </is>
      </c>
    </row>
    <row r="7">
      <c r="A7" s="3" t="inlineStr">
        <is>
          <t>A04</t>
        </is>
      </c>
      <c r="B7" s="3" t="inlineStr">
        <is>
          <t>學生基本與學籍</t>
        </is>
      </c>
      <c r="C7" s="3" t="inlineStr">
        <is>
          <t>學生身分別</t>
        </is>
      </c>
      <c r="D7" s="3" t="inlineStr">
        <is>
          <t>原住民、新住民子女、經濟弱勢、身心障礙等身分註記</t>
        </is>
      </c>
      <c r="E7" s="3" t="inlineStr">
        <is>
          <t>校務系統、補助申請資料</t>
        </is>
      </c>
      <c r="F7" s="3" t="inlineStr"/>
      <c r="G7" s="3" t="inlineStr">
        <is>
          <t>註冊組、學務處</t>
        </is>
      </c>
      <c r="H7" s="3" t="inlineStr"/>
      <c r="I7" s="3" t="inlineStr">
        <is>
          <t>每學期</t>
        </is>
      </c>
      <c r="J7" s="3" t="inlineStr"/>
      <c r="K7" s="3" t="inlineStr">
        <is>
          <t>高敏感</t>
        </is>
      </c>
      <c r="L7" s="3" t="inlineStr"/>
      <c r="M7" s="3" t="inlineStr">
        <is>
          <t>只取各身分人數，檢視資源與成效是否公平</t>
        </is>
      </c>
    </row>
    <row r="8">
      <c r="A8" s="3" t="inlineStr">
        <is>
          <t>A05</t>
        </is>
      </c>
      <c r="B8" s="3" t="inlineStr">
        <is>
          <t>學生基本與學籍</t>
        </is>
      </c>
      <c r="C8" s="3" t="inlineStr">
        <is>
          <t>班級與類組分組</t>
        </is>
      </c>
      <c r="D8" s="3" t="inlineStr">
        <is>
          <t>班級、類組（自然、社會）、班群</t>
        </is>
      </c>
      <c r="E8" s="3" t="inlineStr">
        <is>
          <t>校務系統、教學組分班資料</t>
        </is>
      </c>
      <c r="F8" s="3" t="inlineStr"/>
      <c r="G8" s="3" t="inlineStr">
        <is>
          <t>教學組</t>
        </is>
      </c>
      <c r="H8" s="3" t="inlineStr"/>
      <c r="I8" s="3" t="inlineStr">
        <is>
          <t>每學期</t>
        </is>
      </c>
      <c r="J8" s="3" t="inlineStr"/>
      <c r="K8" s="3" t="inlineStr">
        <is>
          <t>一般</t>
        </is>
      </c>
      <c r="L8" s="3" t="inlineStr"/>
      <c r="M8" s="3" t="inlineStr">
        <is>
          <t>分組比較的維度</t>
        </is>
      </c>
    </row>
    <row r="9">
      <c r="A9" s="3" t="inlineStr">
        <is>
          <t>A06</t>
        </is>
      </c>
      <c r="B9" s="3" t="inlineStr">
        <is>
          <t>學生基本與學籍</t>
        </is>
      </c>
      <c r="C9" s="3" t="inlineStr">
        <is>
          <t>畢業資格與學分審查</t>
        </is>
      </c>
      <c r="D9" s="3" t="inlineStr">
        <is>
          <t>應修與已修學分、必選修學分、畢業資格判定</t>
        </is>
      </c>
      <c r="E9" s="3" t="inlineStr">
        <is>
          <t>校務行政系統　成績模組</t>
        </is>
      </c>
      <c r="F9" s="3" t="inlineStr"/>
      <c r="G9" s="3" t="inlineStr">
        <is>
          <t>註冊組</t>
        </is>
      </c>
      <c r="H9" s="3" t="inlineStr"/>
      <c r="I9" s="3" t="inlineStr">
        <is>
          <t>每學期</t>
        </is>
      </c>
      <c r="J9" s="3" t="inlineStr"/>
      <c r="K9" s="3" t="inlineStr">
        <is>
          <t>個人</t>
        </is>
      </c>
      <c r="L9" s="3" t="inlineStr"/>
      <c r="M9" s="3" t="inlineStr">
        <is>
          <t>預警學分不足；檢視畢業門檻風險</t>
        </is>
      </c>
    </row>
    <row r="10">
      <c r="A10" s="3" t="inlineStr">
        <is>
          <t>B01</t>
        </is>
      </c>
      <c r="B10" s="3" t="inlineStr">
        <is>
          <t>課程與教學</t>
        </is>
      </c>
      <c r="C10" s="3" t="inlineStr">
        <is>
          <t>課程計畫</t>
        </is>
      </c>
      <c r="D10" s="3" t="inlineStr">
        <is>
          <t>校訂必修、多元選修、彈性學習、加深加廣選修的課程名稱、學分、節數</t>
        </is>
      </c>
      <c r="E10" s="3" t="inlineStr">
        <is>
          <t>高級中等學校課程計畫平台</t>
        </is>
      </c>
      <c r="F10" s="3" t="inlineStr"/>
      <c r="G10" s="3" t="inlineStr">
        <is>
          <t>教學組</t>
        </is>
      </c>
      <c r="H10" s="3" t="inlineStr"/>
      <c r="I10" s="3" t="inlineStr">
        <is>
          <t>每學年</t>
        </is>
      </c>
      <c r="J10" s="3" t="inlineStr"/>
      <c r="K10" s="3" t="inlineStr">
        <is>
          <t>一般</t>
        </is>
      </c>
      <c r="L10" s="3" t="inlineStr"/>
      <c r="M10" s="3" t="inlineStr">
        <is>
          <t>課程結構與學分配置檢視</t>
        </is>
      </c>
    </row>
    <row r="11">
      <c r="A11" s="3" t="inlineStr">
        <is>
          <t>B02</t>
        </is>
      </c>
      <c r="B11" s="3" t="inlineStr">
        <is>
          <t>課程與教學</t>
        </is>
      </c>
      <c r="C11" s="3" t="inlineStr">
        <is>
          <t>開課資料</t>
        </is>
      </c>
      <c r="D11" s="3" t="inlineStr">
        <is>
          <t>課程代碼、課程名稱、類型、學分、授課教師代號、時段、人數上限</t>
        </is>
      </c>
      <c r="E11" s="3" t="inlineStr">
        <is>
          <t>校務系統　選課模組</t>
        </is>
      </c>
      <c r="F11" s="3" t="inlineStr"/>
      <c r="G11" s="3" t="inlineStr">
        <is>
          <t>教學組</t>
        </is>
      </c>
      <c r="H11" s="3" t="inlineStr"/>
      <c r="I11" s="3" t="inlineStr">
        <is>
          <t>每學期</t>
        </is>
      </c>
      <c r="J11" s="3" t="inlineStr"/>
      <c r="K11" s="3" t="inlineStr">
        <is>
          <t>一般</t>
        </is>
      </c>
      <c r="L11" s="3" t="inlineStr"/>
      <c r="M11" s="3" t="inlineStr">
        <is>
          <t>開課供給與時段衝堂分析</t>
        </is>
      </c>
    </row>
    <row r="12">
      <c r="A12" s="3" t="inlineStr">
        <is>
          <t>B03</t>
        </is>
      </c>
      <c r="B12" s="3" t="inlineStr">
        <is>
          <t>課程與教學</t>
        </is>
      </c>
      <c r="C12" s="3" t="inlineStr">
        <is>
          <t>選課紀錄</t>
        </is>
      </c>
      <c r="D12" s="3" t="inlineStr">
        <is>
          <t>學號、志願序、分發結果、加退選紀錄</t>
        </is>
      </c>
      <c r="E12" s="3" t="inlineStr">
        <is>
          <t>校務系統　選課模組</t>
        </is>
      </c>
      <c r="F12" s="3" t="inlineStr"/>
      <c r="G12" s="3" t="inlineStr">
        <is>
          <t>教學組</t>
        </is>
      </c>
      <c r="H12" s="3" t="inlineStr"/>
      <c r="I12" s="3" t="inlineStr">
        <is>
          <t>每學期</t>
        </is>
      </c>
      <c r="J12" s="3" t="inlineStr"/>
      <c r="K12" s="3" t="inlineStr">
        <is>
          <t>個人</t>
        </is>
      </c>
      <c r="L12" s="3" t="inlineStr"/>
      <c r="M12" s="3" t="inlineStr">
        <is>
          <t>選課人數趨勢、志願滿足率、選課流向</t>
        </is>
      </c>
    </row>
    <row r="13">
      <c r="A13" s="3" t="inlineStr">
        <is>
          <t>B04</t>
        </is>
      </c>
      <c r="B13" s="3" t="inlineStr">
        <is>
          <t>課程與教學</t>
        </is>
      </c>
      <c r="C13" s="3" t="inlineStr">
        <is>
          <t>課表與配課</t>
        </is>
      </c>
      <c r="D13" s="3" t="inlineStr">
        <is>
          <t>班級課表、教師授課節數、專科教室使用</t>
        </is>
      </c>
      <c r="E13" s="3" t="inlineStr">
        <is>
          <t>校務系統　課務模組</t>
        </is>
      </c>
      <c r="F13" s="3" t="inlineStr"/>
      <c r="G13" s="3" t="inlineStr">
        <is>
          <t>教學組</t>
        </is>
      </c>
      <c r="H13" s="3" t="inlineStr"/>
      <c r="I13" s="3" t="inlineStr">
        <is>
          <t>每學期</t>
        </is>
      </c>
      <c r="J13" s="3" t="inlineStr"/>
      <c r="K13" s="3" t="inlineStr">
        <is>
          <t>一般</t>
        </is>
      </c>
      <c r="L13" s="3" t="inlineStr"/>
      <c r="M13" s="3" t="inlineStr">
        <is>
          <t>授課負擔與空間使用分析</t>
        </is>
      </c>
    </row>
    <row r="14">
      <c r="A14" s="3" t="inlineStr">
        <is>
          <t>B05</t>
        </is>
      </c>
      <c r="B14" s="3" t="inlineStr">
        <is>
          <t>課程與教學</t>
        </is>
      </c>
      <c r="C14" s="3" t="inlineStr">
        <is>
          <t>彈性學習與自主學習</t>
        </is>
      </c>
      <c r="D14" s="3" t="inlineStr">
        <is>
          <t>自主學習計畫、成果、充實補強課程參與</t>
        </is>
      </c>
      <c r="E14" s="3" t="inlineStr">
        <is>
          <t>校務系統、教務處登錄表</t>
        </is>
      </c>
      <c r="F14" s="3" t="inlineStr"/>
      <c r="G14" s="3" t="inlineStr">
        <is>
          <t>教學組</t>
        </is>
      </c>
      <c r="H14" s="3" t="inlineStr"/>
      <c r="I14" s="3" t="inlineStr">
        <is>
          <t>每學期</t>
        </is>
      </c>
      <c r="J14" s="3" t="inlineStr"/>
      <c r="K14" s="3" t="inlineStr">
        <is>
          <t>個人</t>
        </is>
      </c>
      <c r="L14" s="3" t="inlineStr"/>
      <c r="M14" s="3" t="inlineStr">
        <is>
          <t>自主學習完成率與品質</t>
        </is>
      </c>
    </row>
    <row r="15">
      <c r="A15" s="3" t="inlineStr">
        <is>
          <t>B06</t>
        </is>
      </c>
      <c r="B15" s="3" t="inlineStr">
        <is>
          <t>課程與教學</t>
        </is>
      </c>
      <c r="C15" s="3" t="inlineStr">
        <is>
          <t>課程回饋問卷</t>
        </is>
      </c>
      <c r="D15" s="3" t="inlineStr">
        <is>
          <t>課程滿意度、學習收穫、建議（匿名）</t>
        </is>
      </c>
      <c r="E15" s="3" t="inlineStr">
        <is>
          <t>Google 表單／Forms</t>
        </is>
      </c>
      <c r="F15" s="3" t="inlineStr"/>
      <c r="G15" s="3" t="inlineStr">
        <is>
          <t>教學組、各科</t>
        </is>
      </c>
      <c r="H15" s="3" t="inlineStr"/>
      <c r="I15" s="3" t="inlineStr">
        <is>
          <t>每學期</t>
        </is>
      </c>
      <c r="J15" s="3" t="inlineStr"/>
      <c r="K15" s="3" t="inlineStr">
        <is>
          <t>一般</t>
        </is>
      </c>
      <c r="L15" s="3" t="inlineStr"/>
      <c r="M15" s="3" t="inlineStr">
        <is>
          <t>課程品質與改進依據</t>
        </is>
      </c>
    </row>
    <row r="16">
      <c r="A16" s="3" t="inlineStr">
        <is>
          <t>B07</t>
        </is>
      </c>
      <c r="B16" s="3" t="inlineStr">
        <is>
          <t>課程與教學</t>
        </is>
      </c>
      <c r="C16" s="3" t="inlineStr">
        <is>
          <t>公開授課與共備紀錄</t>
        </is>
      </c>
      <c r="D16" s="3" t="inlineStr">
        <is>
          <t>授課教師、日期、觀課人數、回饋摘要</t>
        </is>
      </c>
      <c r="E16" s="3" t="inlineStr">
        <is>
          <t>教學組登錄表</t>
        </is>
      </c>
      <c r="F16" s="3" t="inlineStr"/>
      <c r="G16" s="3" t="inlineStr">
        <is>
          <t>教學組</t>
        </is>
      </c>
      <c r="H16" s="3" t="inlineStr"/>
      <c r="I16" s="3" t="inlineStr">
        <is>
          <t>每學期</t>
        </is>
      </c>
      <c r="J16" s="3" t="inlineStr"/>
      <c r="K16" s="3" t="inlineStr">
        <is>
          <t>一般</t>
        </is>
      </c>
      <c r="L16" s="3" t="inlineStr"/>
      <c r="M16" s="3" t="inlineStr">
        <is>
          <t>教師專業發展的過程指標</t>
        </is>
      </c>
    </row>
    <row r="17">
      <c r="A17" s="3" t="inlineStr">
        <is>
          <t>C01</t>
        </is>
      </c>
      <c r="B17" s="3" t="inlineStr">
        <is>
          <t>學習表現與評量</t>
        </is>
      </c>
      <c r="C17" s="3" t="inlineStr">
        <is>
          <t>段考與平時成績</t>
        </is>
      </c>
      <c r="D17" s="3" t="inlineStr">
        <is>
          <t>學號、學年學期、考試別、科目、成績、缺考註記</t>
        </is>
      </c>
      <c r="E17" s="3" t="inlineStr">
        <is>
          <t>校務行政系統　成績模組</t>
        </is>
      </c>
      <c r="F17" s="3" t="inlineStr"/>
      <c r="G17" s="3" t="inlineStr">
        <is>
          <t>註冊組</t>
        </is>
      </c>
      <c r="H17" s="3" t="inlineStr"/>
      <c r="I17" s="3" t="inlineStr">
        <is>
          <t>每次段考</t>
        </is>
      </c>
      <c r="J17" s="3" t="inlineStr"/>
      <c r="K17" s="3" t="inlineStr">
        <is>
          <t>個人</t>
        </is>
      </c>
      <c r="L17" s="3" t="inlineStr"/>
      <c r="M17" s="3" t="inlineStr">
        <is>
          <t>科目與班級表現比較（需控制起點）</t>
        </is>
      </c>
    </row>
    <row r="18">
      <c r="A18" s="3" t="inlineStr">
        <is>
          <t>C02</t>
        </is>
      </c>
      <c r="B18" s="3" t="inlineStr">
        <is>
          <t>學習表現與評量</t>
        </is>
      </c>
      <c r="C18" s="3" t="inlineStr">
        <is>
          <t>學期成績與學分</t>
        </is>
      </c>
      <c r="D18" s="3" t="inlineStr">
        <is>
          <t>學號、科目、學期成績、學分取得、及格與否</t>
        </is>
      </c>
      <c r="E18" s="3" t="inlineStr">
        <is>
          <t>校務行政系統　成績模組</t>
        </is>
      </c>
      <c r="F18" s="3" t="inlineStr"/>
      <c r="G18" s="3" t="inlineStr">
        <is>
          <t>註冊組</t>
        </is>
      </c>
      <c r="H18" s="3" t="inlineStr"/>
      <c r="I18" s="3" t="inlineStr">
        <is>
          <t>每學期</t>
        </is>
      </c>
      <c r="J18" s="3" t="inlineStr"/>
      <c r="K18" s="3" t="inlineStr">
        <is>
          <t>個人</t>
        </is>
      </c>
      <c r="L18" s="3" t="inlineStr"/>
      <c r="M18" s="3" t="inlineStr">
        <is>
          <t>學分取得率、不及格集中科目</t>
        </is>
      </c>
    </row>
    <row r="19">
      <c r="A19" s="3" t="inlineStr">
        <is>
          <t>C03</t>
        </is>
      </c>
      <c r="B19" s="3" t="inlineStr">
        <is>
          <t>學習表現與評量</t>
        </is>
      </c>
      <c r="C19" s="3" t="inlineStr">
        <is>
          <t>補考與重修</t>
        </is>
      </c>
      <c r="D19" s="3" t="inlineStr">
        <is>
          <t>補考科目、補考成績、重修紀錄</t>
        </is>
      </c>
      <c r="E19" s="3" t="inlineStr">
        <is>
          <t>校務行政系統　成績模組</t>
        </is>
      </c>
      <c r="F19" s="3" t="inlineStr"/>
      <c r="G19" s="3" t="inlineStr">
        <is>
          <t>註冊組</t>
        </is>
      </c>
      <c r="H19" s="3" t="inlineStr"/>
      <c r="I19" s="3" t="inlineStr">
        <is>
          <t>每學期</t>
        </is>
      </c>
      <c r="J19" s="3" t="inlineStr"/>
      <c r="K19" s="3" t="inlineStr">
        <is>
          <t>個人</t>
        </is>
      </c>
      <c r="L19" s="3" t="inlineStr"/>
      <c r="M19" s="3" t="inlineStr">
        <is>
          <t>學習落後的早期訊號</t>
        </is>
      </c>
    </row>
    <row r="20">
      <c r="A20" s="3" t="inlineStr">
        <is>
          <t>C04</t>
        </is>
      </c>
      <c r="B20" s="3" t="inlineStr">
        <is>
          <t>學習表現與評量</t>
        </is>
      </c>
      <c r="C20" s="3" t="inlineStr">
        <is>
          <t>校內模擬考與複習考</t>
        </is>
      </c>
      <c r="D20" s="3" t="inlineStr">
        <is>
          <t>考試別、科目、分數或級分</t>
        </is>
      </c>
      <c r="E20" s="3" t="inlineStr">
        <is>
          <t>試務組登錄檔</t>
        </is>
      </c>
      <c r="F20" s="3" t="inlineStr"/>
      <c r="G20" s="3" t="inlineStr">
        <is>
          <t>試務、教學組</t>
        </is>
      </c>
      <c r="H20" s="3" t="inlineStr"/>
      <c r="I20" s="3" t="inlineStr">
        <is>
          <t>不定期</t>
        </is>
      </c>
      <c r="J20" s="3" t="inlineStr"/>
      <c r="K20" s="3" t="inlineStr">
        <is>
          <t>個人</t>
        </is>
      </c>
      <c r="L20" s="3" t="inlineStr"/>
      <c r="M20" s="3" t="inlineStr">
        <is>
          <t>升學準備追蹤</t>
        </is>
      </c>
    </row>
    <row r="21">
      <c r="A21" s="3" t="inlineStr">
        <is>
          <t>C05</t>
        </is>
      </c>
      <c r="B21" s="3" t="inlineStr">
        <is>
          <t>學習表現與評量</t>
        </is>
      </c>
      <c r="C21" s="3" t="inlineStr">
        <is>
          <t>學測與分科測驗成績</t>
        </is>
      </c>
      <c r="D21" s="3" t="inlineStr">
        <is>
          <t>學號、各科級分或分數、英聽等級</t>
        </is>
      </c>
      <c r="E21" s="3" t="inlineStr">
        <is>
          <t>大考中心成績資料</t>
        </is>
      </c>
      <c r="F21" s="3" t="inlineStr"/>
      <c r="G21" s="3" t="inlineStr">
        <is>
          <t>教務處、試務</t>
        </is>
      </c>
      <c r="H21" s="3" t="inlineStr"/>
      <c r="I21" s="3" t="inlineStr">
        <is>
          <t>每年</t>
        </is>
      </c>
      <c r="J21" s="3" t="inlineStr"/>
      <c r="K21" s="3" t="inlineStr">
        <is>
          <t>個人</t>
        </is>
      </c>
      <c r="L21" s="3" t="inlineStr"/>
      <c r="M21" s="3" t="inlineStr">
        <is>
          <t>三年學習成果的外部對照</t>
        </is>
      </c>
    </row>
    <row r="22">
      <c r="A22" s="3" t="inlineStr">
        <is>
          <t>C06</t>
        </is>
      </c>
      <c r="B22" s="3" t="inlineStr">
        <is>
          <t>學習表現與評量</t>
        </is>
      </c>
      <c r="C22" s="3" t="inlineStr">
        <is>
          <t>語言與技能檢定</t>
        </is>
      </c>
      <c r="D22" s="3" t="inlineStr">
        <is>
          <t>檢定名稱、等級、取得日期（英檢、APCS 等）</t>
        </is>
      </c>
      <c r="E22" s="3" t="inlineStr">
        <is>
          <t>學習歷程多元表現、學生登錄</t>
        </is>
      </c>
      <c r="F22" s="3" t="inlineStr"/>
      <c r="G22" s="3" t="inlineStr">
        <is>
          <t>教學組</t>
        </is>
      </c>
      <c r="H22" s="3" t="inlineStr"/>
      <c r="I22" s="3" t="inlineStr">
        <is>
          <t>不定期</t>
        </is>
      </c>
      <c r="J22" s="3" t="inlineStr"/>
      <c r="K22" s="3" t="inlineStr">
        <is>
          <t>個人</t>
        </is>
      </c>
      <c r="L22" s="3" t="inlineStr"/>
      <c r="M22" s="3" t="inlineStr">
        <is>
          <t>多元能力發展情形</t>
        </is>
      </c>
    </row>
    <row r="23">
      <c r="A23" s="3" t="inlineStr">
        <is>
          <t>C07</t>
        </is>
      </c>
      <c r="B23" s="3" t="inlineStr">
        <is>
          <t>學習表現與評量</t>
        </is>
      </c>
      <c r="C23" s="3" t="inlineStr">
        <is>
          <t>競賽與表揚</t>
        </is>
      </c>
      <c r="D23" s="3" t="inlineStr">
        <is>
          <t>競賽名稱、層級、名次、指導教師</t>
        </is>
      </c>
      <c r="E23" s="3" t="inlineStr">
        <is>
          <t>各處室登錄表</t>
        </is>
      </c>
      <c r="F23" s="3" t="inlineStr"/>
      <c r="G23" s="3" t="inlineStr">
        <is>
          <t>各處室</t>
        </is>
      </c>
      <c r="H23" s="3" t="inlineStr"/>
      <c r="I23" s="3" t="inlineStr">
        <is>
          <t>不定期</t>
        </is>
      </c>
      <c r="J23" s="3" t="inlineStr"/>
      <c r="K23" s="3" t="inlineStr">
        <is>
          <t>個人</t>
        </is>
      </c>
      <c r="L23" s="3" t="inlineStr"/>
      <c r="M23" s="3" t="inlineStr">
        <is>
          <t>特色課程與社團的外部成果</t>
        </is>
      </c>
    </row>
    <row r="24">
      <c r="A24" s="3" t="inlineStr">
        <is>
          <t>D01</t>
        </is>
      </c>
      <c r="B24" s="3" t="inlineStr">
        <is>
          <t>學習歷程檔案</t>
        </is>
      </c>
      <c r="C24" s="3" t="inlineStr">
        <is>
          <t>課程學習成果</t>
        </is>
      </c>
      <c r="D24" s="3" t="inlineStr">
        <is>
          <t>帳號、學年學期、應上傳、已上傳、已認證件數、認證教師</t>
        </is>
      </c>
      <c r="E24" s="3" t="inlineStr">
        <is>
          <t>學習歷程學校平台</t>
        </is>
      </c>
      <c r="F24" s="3" t="inlineStr"/>
      <c r="G24" s="3" t="inlineStr">
        <is>
          <t>教務處</t>
        </is>
      </c>
      <c r="H24" s="3" t="inlineStr"/>
      <c r="I24" s="3" t="inlineStr">
        <is>
          <t>每學期</t>
        </is>
      </c>
      <c r="J24" s="3" t="inlineStr"/>
      <c r="K24" s="3" t="inlineStr">
        <is>
          <t>個人</t>
        </is>
      </c>
      <c r="L24" s="3" t="inlineStr"/>
      <c r="M24" s="3" t="inlineStr">
        <is>
          <t>上傳率、認證率與時程</t>
        </is>
      </c>
    </row>
    <row r="25">
      <c r="A25" s="3" t="inlineStr">
        <is>
          <t>D02</t>
        </is>
      </c>
      <c r="B25" s="3" t="inlineStr">
        <is>
          <t>學習歷程檔案</t>
        </is>
      </c>
      <c r="C25" s="3" t="inlineStr">
        <is>
          <t>多元表現</t>
        </is>
      </c>
      <c r="D25" s="3" t="inlineStr">
        <is>
          <t>帳號、類別（幹部、競賽、檢定、志工等）、件數</t>
        </is>
      </c>
      <c r="E25" s="3" t="inlineStr">
        <is>
          <t>學習歷程學校平台</t>
        </is>
      </c>
      <c r="F25" s="3" t="inlineStr"/>
      <c r="G25" s="3" t="inlineStr">
        <is>
          <t>教務處</t>
        </is>
      </c>
      <c r="H25" s="3" t="inlineStr"/>
      <c r="I25" s="3" t="inlineStr">
        <is>
          <t>每學年</t>
        </is>
      </c>
      <c r="J25" s="3" t="inlineStr"/>
      <c r="K25" s="3" t="inlineStr">
        <is>
          <t>個人</t>
        </is>
      </c>
      <c r="L25" s="3" t="inlineStr"/>
      <c r="M25" s="3" t="inlineStr">
        <is>
          <t>多元表現的分布與落差</t>
        </is>
      </c>
    </row>
    <row r="26">
      <c r="A26" s="3" t="inlineStr">
        <is>
          <t>D03</t>
        </is>
      </c>
      <c r="B26" s="3" t="inlineStr">
        <is>
          <t>學習歷程檔案</t>
        </is>
      </c>
      <c r="C26" s="3" t="inlineStr">
        <is>
          <t>勾選提交紀錄</t>
        </is>
      </c>
      <c r="D26" s="3" t="inlineStr">
        <is>
          <t>提交至中央資料庫的件數、勾選日期</t>
        </is>
      </c>
      <c r="E26" s="3" t="inlineStr">
        <is>
          <t>學習歷程學校平台（中央資料庫）</t>
        </is>
      </c>
      <c r="F26" s="3" t="inlineStr"/>
      <c r="G26" s="3" t="inlineStr">
        <is>
          <t>教務處</t>
        </is>
      </c>
      <c r="H26" s="3" t="inlineStr"/>
      <c r="I26" s="3" t="inlineStr">
        <is>
          <t>每學年</t>
        </is>
      </c>
      <c r="J26" s="3" t="inlineStr"/>
      <c r="K26" s="3" t="inlineStr">
        <is>
          <t>個人</t>
        </is>
      </c>
      <c r="L26" s="3" t="inlineStr"/>
      <c r="M26" s="3" t="inlineStr">
        <is>
          <t>升學準備完成度</t>
        </is>
      </c>
    </row>
    <row r="27">
      <c r="A27" s="3" t="inlineStr">
        <is>
          <t>D04</t>
        </is>
      </c>
      <c r="B27" s="3" t="inlineStr">
        <is>
          <t>學習歷程檔案</t>
        </is>
      </c>
      <c r="C27" s="3" t="inlineStr">
        <is>
          <t>教師認證作業</t>
        </is>
      </c>
      <c r="D27" s="3" t="inlineStr">
        <is>
          <t>教師代號、待認證件數、完成天數</t>
        </is>
      </c>
      <c r="E27" s="3" t="inlineStr">
        <is>
          <t>學習歷程學校平台</t>
        </is>
      </c>
      <c r="F27" s="3" t="inlineStr"/>
      <c r="G27" s="3" t="inlineStr">
        <is>
          <t>教務處</t>
        </is>
      </c>
      <c r="H27" s="3" t="inlineStr"/>
      <c r="I27" s="3" t="inlineStr">
        <is>
          <t>每學期</t>
        </is>
      </c>
      <c r="J27" s="3" t="inlineStr"/>
      <c r="K27" s="3" t="inlineStr">
        <is>
          <t>個人</t>
        </is>
      </c>
      <c r="L27" s="3" t="inlineStr"/>
      <c r="M27" s="3" t="inlineStr">
        <is>
          <t>認證負擔與流程瓶頸</t>
        </is>
      </c>
    </row>
    <row r="28">
      <c r="A28" s="3" t="inlineStr">
        <is>
          <t>E01</t>
        </is>
      </c>
      <c r="B28" s="3" t="inlineStr">
        <is>
          <t>學生生活與學務</t>
        </is>
      </c>
      <c r="C28" s="3" t="inlineStr">
        <is>
          <t>出缺席</t>
        </is>
      </c>
      <c r="D28" s="3" t="inlineStr">
        <is>
          <t>學號、日期、節次、假別（事、病、公、曠、遲到）</t>
        </is>
      </c>
      <c r="E28" s="3" t="inlineStr">
        <is>
          <t>校務行政系統　學務模組</t>
        </is>
      </c>
      <c r="F28" s="3" t="inlineStr"/>
      <c r="G28" s="3" t="inlineStr">
        <is>
          <t>生輔組</t>
        </is>
      </c>
      <c r="H28" s="3" t="inlineStr"/>
      <c r="I28" s="3" t="inlineStr">
        <is>
          <t>每日／每月</t>
        </is>
      </c>
      <c r="J28" s="3" t="inlineStr"/>
      <c r="K28" s="3" t="inlineStr">
        <is>
          <t>個人</t>
        </is>
      </c>
      <c r="L28" s="3" t="inlineStr"/>
      <c r="M28" s="3" t="inlineStr">
        <is>
          <t>缺曠課趨勢、課程參與度代理指標</t>
        </is>
      </c>
    </row>
    <row r="29">
      <c r="A29" s="3" t="inlineStr">
        <is>
          <t>E02</t>
        </is>
      </c>
      <c r="B29" s="3" t="inlineStr">
        <is>
          <t>學生生活與學務</t>
        </is>
      </c>
      <c r="C29" s="3" t="inlineStr">
        <is>
          <t>獎懲</t>
        </is>
      </c>
      <c r="D29" s="3" t="inlineStr">
        <is>
          <t>學號、日期、獎懲類別、次數、事由類別</t>
        </is>
      </c>
      <c r="E29" s="3" t="inlineStr">
        <is>
          <t>校務行政系統　學務模組</t>
        </is>
      </c>
      <c r="F29" s="3" t="inlineStr"/>
      <c r="G29" s="3" t="inlineStr">
        <is>
          <t>生輔組</t>
        </is>
      </c>
      <c r="H29" s="3" t="inlineStr"/>
      <c r="I29" s="3" t="inlineStr">
        <is>
          <t>每學期</t>
        </is>
      </c>
      <c r="J29" s="3" t="inlineStr"/>
      <c r="K29" s="3" t="inlineStr">
        <is>
          <t>個人</t>
        </is>
      </c>
      <c r="L29" s="3" t="inlineStr"/>
      <c r="M29" s="3" t="inlineStr">
        <is>
          <t>行為輔導需求與成效</t>
        </is>
      </c>
    </row>
    <row r="30">
      <c r="A30" s="3" t="inlineStr">
        <is>
          <t>E03</t>
        </is>
      </c>
      <c r="B30" s="3" t="inlineStr">
        <is>
          <t>學生生活與學務</t>
        </is>
      </c>
      <c r="C30" s="3" t="inlineStr">
        <is>
          <t>社團與幹部</t>
        </is>
      </c>
      <c r="D30" s="3" t="inlineStr">
        <is>
          <t>社團名稱、參與學期、幹部職務</t>
        </is>
      </c>
      <c r="E30" s="3" t="inlineStr">
        <is>
          <t>校務系統、訓育組登錄表</t>
        </is>
      </c>
      <c r="F30" s="3" t="inlineStr"/>
      <c r="G30" s="3" t="inlineStr">
        <is>
          <t>訓育組、活動組</t>
        </is>
      </c>
      <c r="H30" s="3" t="inlineStr"/>
      <c r="I30" s="3" t="inlineStr">
        <is>
          <t>每學期</t>
        </is>
      </c>
      <c r="J30" s="3" t="inlineStr"/>
      <c r="K30" s="3" t="inlineStr">
        <is>
          <t>個人</t>
        </is>
      </c>
      <c r="L30" s="3" t="inlineStr"/>
      <c r="M30" s="3" t="inlineStr">
        <is>
          <t>社團參與和學習表現的關係</t>
        </is>
      </c>
    </row>
    <row r="31">
      <c r="A31" s="3" t="inlineStr">
        <is>
          <t>E04</t>
        </is>
      </c>
      <c r="B31" s="3" t="inlineStr">
        <is>
          <t>學生生活與學務</t>
        </is>
      </c>
      <c r="C31" s="3" t="inlineStr">
        <is>
          <t>服務學習</t>
        </is>
      </c>
      <c r="D31" s="3" t="inlineStr">
        <is>
          <t>服務時數、服務類別、單位</t>
        </is>
      </c>
      <c r="E31" s="3" t="inlineStr">
        <is>
          <t>校務系統、學務處登錄表</t>
        </is>
      </c>
      <c r="F31" s="3" t="inlineStr"/>
      <c r="G31" s="3" t="inlineStr">
        <is>
          <t>學務處</t>
        </is>
      </c>
      <c r="H31" s="3" t="inlineStr"/>
      <c r="I31" s="3" t="inlineStr">
        <is>
          <t>每學期</t>
        </is>
      </c>
      <c r="J31" s="3" t="inlineStr"/>
      <c r="K31" s="3" t="inlineStr">
        <is>
          <t>個人</t>
        </is>
      </c>
      <c r="L31" s="3" t="inlineStr"/>
      <c r="M31" s="3" t="inlineStr">
        <is>
          <t>服務學習達成率</t>
        </is>
      </c>
    </row>
    <row r="32">
      <c r="A32" s="3" t="inlineStr">
        <is>
          <t>E05</t>
        </is>
      </c>
      <c r="B32" s="3" t="inlineStr">
        <is>
          <t>學生生活與學務</t>
        </is>
      </c>
      <c r="C32" s="3" t="inlineStr">
        <is>
          <t>體適能檢測</t>
        </is>
      </c>
      <c r="D32" s="3" t="inlineStr">
        <is>
          <t>身高、體重、各項檢測成績、常模百分等級</t>
        </is>
      </c>
      <c r="E32" s="3" t="inlineStr">
        <is>
          <t>體育署體適能平台</t>
        </is>
      </c>
      <c r="F32" s="3" t="inlineStr"/>
      <c r="G32" s="3" t="inlineStr">
        <is>
          <t>體育組</t>
        </is>
      </c>
      <c r="H32" s="3" t="inlineStr"/>
      <c r="I32" s="3" t="inlineStr">
        <is>
          <t>每學年</t>
        </is>
      </c>
      <c r="J32" s="3" t="inlineStr"/>
      <c r="K32" s="3" t="inlineStr">
        <is>
          <t>個人</t>
        </is>
      </c>
      <c r="L32" s="3" t="inlineStr"/>
      <c r="M32" s="3" t="inlineStr">
        <is>
          <t>體能發展與體育課程成效（只看彙總）</t>
        </is>
      </c>
    </row>
    <row r="33">
      <c r="A33" s="3" t="inlineStr">
        <is>
          <t>E06</t>
        </is>
      </c>
      <c r="B33" s="3" t="inlineStr">
        <is>
          <t>學生生活與學務</t>
        </is>
      </c>
      <c r="C33" s="3" t="inlineStr">
        <is>
          <t>健康檢查</t>
        </is>
      </c>
      <c r="D33" s="3" t="inlineStr">
        <is>
          <t>身高、體重、視力、健檢異常項目</t>
        </is>
      </c>
      <c r="E33" s="3" t="inlineStr">
        <is>
          <t>學生健康資訊系統</t>
        </is>
      </c>
      <c r="F33" s="3" t="inlineStr"/>
      <c r="G33" s="3" t="inlineStr">
        <is>
          <t>衛生組、健康中心</t>
        </is>
      </c>
      <c r="H33" s="3" t="inlineStr"/>
      <c r="I33" s="3" t="inlineStr">
        <is>
          <t>每學年</t>
        </is>
      </c>
      <c r="J33" s="3" t="inlineStr"/>
      <c r="K33" s="3" t="inlineStr">
        <is>
          <t>高敏感</t>
        </is>
      </c>
      <c r="L33" s="3" t="inlineStr"/>
      <c r="M33" s="3" t="inlineStr">
        <is>
          <t>只取彙總：視力不良率、體位分布</t>
        </is>
      </c>
    </row>
    <row r="34">
      <c r="A34" s="3" t="inlineStr">
        <is>
          <t>E07</t>
        </is>
      </c>
      <c r="B34" s="3" t="inlineStr">
        <is>
          <t>學生生活與學務</t>
        </is>
      </c>
      <c r="C34" s="3" t="inlineStr">
        <is>
          <t>校安事件</t>
        </is>
      </c>
      <c r="D34" s="3" t="inlineStr">
        <is>
          <t>事件類別、日期、處理狀態</t>
        </is>
      </c>
      <c r="E34" s="3" t="inlineStr">
        <is>
          <t>校安通報系統</t>
        </is>
      </c>
      <c r="F34" s="3" t="inlineStr"/>
      <c r="G34" s="3" t="inlineStr">
        <is>
          <t>生輔組</t>
        </is>
      </c>
      <c r="H34" s="3" t="inlineStr"/>
      <c r="I34" s="3" t="inlineStr">
        <is>
          <t>事件發生時</t>
        </is>
      </c>
      <c r="J34" s="3" t="inlineStr"/>
      <c r="K34" s="3" t="inlineStr">
        <is>
          <t>高敏感</t>
        </is>
      </c>
      <c r="L34" s="3" t="inlineStr"/>
      <c r="M34" s="3" t="inlineStr">
        <is>
          <t>只取彙總：事件類別與件數趨勢</t>
        </is>
      </c>
    </row>
    <row r="35">
      <c r="A35" s="3" t="inlineStr">
        <is>
          <t>F01</t>
        </is>
      </c>
      <c r="B35" s="3" t="inlineStr">
        <is>
          <t>輔導與特殊教育</t>
        </is>
      </c>
      <c r="C35" s="3" t="inlineStr">
        <is>
          <t>輔導紀錄與個案</t>
        </is>
      </c>
      <c r="D35" s="3" t="inlineStr">
        <is>
          <t>個案類別、輔導層級、晤談次數</t>
        </is>
      </c>
      <c r="E35" s="3" t="inlineStr">
        <is>
          <t>學生輔導資訊系統</t>
        </is>
      </c>
      <c r="F35" s="3" t="inlineStr"/>
      <c r="G35" s="3" t="inlineStr">
        <is>
          <t>輔導室</t>
        </is>
      </c>
      <c r="H35" s="3" t="inlineStr"/>
      <c r="I35" s="3" t="inlineStr">
        <is>
          <t>持續</t>
        </is>
      </c>
      <c r="J35" s="3" t="inlineStr"/>
      <c r="K35" s="3" t="inlineStr">
        <is>
          <t>高敏感</t>
        </is>
      </c>
      <c r="L35" s="3" t="inlineStr"/>
      <c r="M35" s="3" t="inlineStr">
        <is>
          <t>只取彙總：各層級個案數與類型分布</t>
        </is>
      </c>
    </row>
    <row r="36">
      <c r="A36" s="3" t="inlineStr">
        <is>
          <t>F02</t>
        </is>
      </c>
      <c r="B36" s="3" t="inlineStr">
        <is>
          <t>輔導與特殊教育</t>
        </is>
      </c>
      <c r="C36" s="3" t="inlineStr">
        <is>
          <t>心理與性向測驗</t>
        </is>
      </c>
      <c r="D36" s="3" t="inlineStr">
        <is>
          <t>測驗名稱、施測年級、量表結果</t>
        </is>
      </c>
      <c r="E36" s="3" t="inlineStr">
        <is>
          <t>輔導室測驗資料</t>
        </is>
      </c>
      <c r="F36" s="3" t="inlineStr"/>
      <c r="G36" s="3" t="inlineStr">
        <is>
          <t>輔導室</t>
        </is>
      </c>
      <c r="H36" s="3" t="inlineStr"/>
      <c r="I36" s="3" t="inlineStr">
        <is>
          <t>每學年</t>
        </is>
      </c>
      <c r="J36" s="3" t="inlineStr"/>
      <c r="K36" s="3" t="inlineStr">
        <is>
          <t>個人</t>
        </is>
      </c>
      <c r="L36" s="3" t="inlineStr"/>
      <c r="M36" s="3" t="inlineStr">
        <is>
          <t>生涯輔導與選組參考（以彙總呈現）</t>
        </is>
      </c>
    </row>
    <row r="37">
      <c r="A37" s="3" t="inlineStr">
        <is>
          <t>F03</t>
        </is>
      </c>
      <c r="B37" s="3" t="inlineStr">
        <is>
          <t>輔導與特殊教育</t>
        </is>
      </c>
      <c r="C37" s="3" t="inlineStr">
        <is>
          <t>生涯與升學輔導</t>
        </is>
      </c>
      <c r="D37" s="3" t="inlineStr">
        <is>
          <t>選組諮詢、升學輔導參與紀錄</t>
        </is>
      </c>
      <c r="E37" s="3" t="inlineStr">
        <is>
          <t>輔導室登錄表</t>
        </is>
      </c>
      <c r="F37" s="3" t="inlineStr"/>
      <c r="G37" s="3" t="inlineStr">
        <is>
          <t>輔導室</t>
        </is>
      </c>
      <c r="H37" s="3" t="inlineStr"/>
      <c r="I37" s="3" t="inlineStr">
        <is>
          <t>每學年</t>
        </is>
      </c>
      <c r="J37" s="3" t="inlineStr"/>
      <c r="K37" s="3" t="inlineStr">
        <is>
          <t>個人</t>
        </is>
      </c>
      <c r="L37" s="3" t="inlineStr"/>
      <c r="M37" s="3" t="inlineStr">
        <is>
          <t>生涯輔導活動的覆蓋率</t>
        </is>
      </c>
    </row>
    <row r="38">
      <c r="A38" s="3" t="inlineStr">
        <is>
          <t>F04</t>
        </is>
      </c>
      <c r="B38" s="3" t="inlineStr">
        <is>
          <t>輔導與特殊教育</t>
        </is>
      </c>
      <c r="C38" s="3" t="inlineStr">
        <is>
          <t>特殊教育學生</t>
        </is>
      </c>
      <c r="D38" s="3" t="inlineStr">
        <is>
          <t>特教身分、鑑定類別、個別化教育計畫（IEP）</t>
        </is>
      </c>
      <c r="E38" s="3" t="inlineStr">
        <is>
          <t>特殊教育通報網</t>
        </is>
      </c>
      <c r="F38" s="3" t="inlineStr"/>
      <c r="G38" s="3" t="inlineStr">
        <is>
          <t>特教組</t>
        </is>
      </c>
      <c r="H38" s="3" t="inlineStr"/>
      <c r="I38" s="3" t="inlineStr">
        <is>
          <t>每學期</t>
        </is>
      </c>
      <c r="J38" s="3" t="inlineStr"/>
      <c r="K38" s="3" t="inlineStr">
        <is>
          <t>高敏感</t>
        </is>
      </c>
      <c r="L38" s="3" t="inlineStr"/>
      <c r="M38" s="3" t="inlineStr">
        <is>
          <t>只取彙總：特教學生數與支持服務量</t>
        </is>
      </c>
    </row>
    <row r="39">
      <c r="A39" s="3" t="inlineStr">
        <is>
          <t>F05</t>
        </is>
      </c>
      <c r="B39" s="3" t="inlineStr">
        <is>
          <t>輔導與特殊教育</t>
        </is>
      </c>
      <c r="C39" s="3" t="inlineStr">
        <is>
          <t>中輟與長期缺課追蹤</t>
        </is>
      </c>
      <c r="D39" s="3" t="inlineStr">
        <is>
          <t>追蹤狀態、復學情形</t>
        </is>
      </c>
      <c r="E39" s="3" t="inlineStr">
        <is>
          <t>輔導室、生輔組</t>
        </is>
      </c>
      <c r="F39" s="3" t="inlineStr"/>
      <c r="G39" s="3" t="inlineStr">
        <is>
          <t>輔導室</t>
        </is>
      </c>
      <c r="H39" s="3" t="inlineStr"/>
      <c r="I39" s="3" t="inlineStr">
        <is>
          <t>持續</t>
        </is>
      </c>
      <c r="J39" s="3" t="inlineStr"/>
      <c r="K39" s="3" t="inlineStr">
        <is>
          <t>高敏感</t>
        </is>
      </c>
      <c r="L39" s="3" t="inlineStr"/>
      <c r="M39" s="3" t="inlineStr">
        <is>
          <t>只取彙總：追蹤人數與復學率</t>
        </is>
      </c>
    </row>
    <row r="40">
      <c r="A40" s="3" t="inlineStr">
        <is>
          <t>G01</t>
        </is>
      </c>
      <c r="B40" s="3" t="inlineStr">
        <is>
          <t>數位學習與資訊</t>
        </is>
      </c>
      <c r="C40" s="3" t="inlineStr">
        <is>
          <t>帳號與身分對照</t>
        </is>
      </c>
      <c r="D40" s="3" t="inlineStr">
        <is>
          <t>學號、學校帳號（Google／M365）、教育雲帳號、帳號狀態</t>
        </is>
      </c>
      <c r="E40" s="3" t="inlineStr">
        <is>
          <t>帳號管理系統、教育雲</t>
        </is>
      </c>
      <c r="F40" s="3" t="inlineStr"/>
      <c r="G40" s="3" t="inlineStr">
        <is>
          <t>資訊組</t>
        </is>
      </c>
      <c r="H40" s="3" t="inlineStr"/>
      <c r="I40" s="3" t="inlineStr">
        <is>
          <t>每學期＋異動時</t>
        </is>
      </c>
      <c r="J40" s="3" t="inlineStr"/>
      <c r="K40" s="3" t="inlineStr">
        <is>
          <t>個人</t>
        </is>
      </c>
      <c r="L40" s="3" t="inlineStr"/>
      <c r="M40" s="3" t="inlineStr">
        <is>
          <t>跨系統串接的關鍵表</t>
        </is>
      </c>
    </row>
    <row r="41">
      <c r="A41" s="3" t="inlineStr">
        <is>
          <t>G02</t>
        </is>
      </c>
      <c r="B41" s="3" t="inlineStr">
        <is>
          <t>數位學習與資訊</t>
        </is>
      </c>
      <c r="C41" s="3" t="inlineStr">
        <is>
          <t>教學平台使用</t>
        </is>
      </c>
      <c r="D41" s="3" t="inlineStr">
        <is>
          <t>登入次數、作業指派與繳交、繳交時間</t>
        </is>
      </c>
      <c r="E41" s="3" t="inlineStr">
        <is>
          <t>Google Classroom、Microsoft Teams</t>
        </is>
      </c>
      <c r="F41" s="3" t="inlineStr"/>
      <c r="G41" s="3" t="inlineStr">
        <is>
          <t>資訊組、任課教師</t>
        </is>
      </c>
      <c r="H41" s="3" t="inlineStr"/>
      <c r="I41" s="3" t="inlineStr">
        <is>
          <t>每週</t>
        </is>
      </c>
      <c r="J41" s="3" t="inlineStr"/>
      <c r="K41" s="3" t="inlineStr">
        <is>
          <t>個人</t>
        </is>
      </c>
      <c r="L41" s="3" t="inlineStr"/>
      <c r="M41" s="3" t="inlineStr">
        <is>
          <t>數位教學落實程度</t>
        </is>
      </c>
    </row>
    <row r="42">
      <c r="A42" s="3" t="inlineStr">
        <is>
          <t>G03</t>
        </is>
      </c>
      <c r="B42" s="3" t="inlineStr">
        <is>
          <t>數位學習與資訊</t>
        </is>
      </c>
      <c r="C42" s="3" t="inlineStr">
        <is>
          <t>自主學習平台紀錄</t>
        </is>
      </c>
      <c r="D42" s="3" t="inlineStr">
        <is>
          <t>學習時數、完成單元、測驗結果</t>
        </is>
      </c>
      <c r="E42" s="3" t="inlineStr">
        <is>
          <t>因材網、酷課雲、Cool English 等</t>
        </is>
      </c>
      <c r="F42" s="3" t="inlineStr"/>
      <c r="G42" s="3" t="inlineStr">
        <is>
          <t>資訊組</t>
        </is>
      </c>
      <c r="H42" s="3" t="inlineStr"/>
      <c r="I42" s="3" t="inlineStr">
        <is>
          <t>每週</t>
        </is>
      </c>
      <c r="J42" s="3" t="inlineStr"/>
      <c r="K42" s="3" t="inlineStr">
        <is>
          <t>個人</t>
        </is>
      </c>
      <c r="L42" s="3" t="inlineStr"/>
      <c r="M42" s="3" t="inlineStr">
        <is>
          <t>自主學習投入與成效</t>
        </is>
      </c>
    </row>
    <row r="43">
      <c r="A43" s="3" t="inlineStr">
        <is>
          <t>G04</t>
        </is>
      </c>
      <c r="B43" s="3" t="inlineStr">
        <is>
          <t>數位學習與資訊</t>
        </is>
      </c>
      <c r="C43" s="3" t="inlineStr">
        <is>
          <t>載具借用與管理</t>
        </is>
      </c>
      <c r="D43" s="3" t="inlineStr">
        <is>
          <t>載具編號、借用對象、借用期間、維修紀錄</t>
        </is>
      </c>
      <c r="E43" s="3" t="inlineStr">
        <is>
          <t>資訊組或設備組管理表</t>
        </is>
      </c>
      <c r="F43" s="3" t="inlineStr"/>
      <c r="G43" s="3" t="inlineStr">
        <is>
          <t>資訊組、設備組</t>
        </is>
      </c>
      <c r="H43" s="3" t="inlineStr"/>
      <c r="I43" s="3" t="inlineStr">
        <is>
          <t>每學期</t>
        </is>
      </c>
      <c r="J43" s="3" t="inlineStr"/>
      <c r="K43" s="3" t="inlineStr">
        <is>
          <t>一般</t>
        </is>
      </c>
      <c r="L43" s="3" t="inlineStr"/>
      <c r="M43" s="3" t="inlineStr">
        <is>
          <t>載具使用率與數位計畫成效</t>
        </is>
      </c>
    </row>
    <row r="44">
      <c r="A44" s="3" t="inlineStr">
        <is>
          <t>G05</t>
        </is>
      </c>
      <c r="B44" s="3" t="inlineStr">
        <is>
          <t>數位學習與資訊</t>
        </is>
      </c>
      <c r="C44" s="3" t="inlineStr">
        <is>
          <t>網路與設備使用</t>
        </is>
      </c>
      <c r="D44" s="3" t="inlineStr">
        <is>
          <t>連線數、頻寬使用、專科教室設備使用</t>
        </is>
      </c>
      <c r="E44" s="3" t="inlineStr">
        <is>
          <t>網管系統、設備組紀錄</t>
        </is>
      </c>
      <c r="F44" s="3" t="inlineStr"/>
      <c r="G44" s="3" t="inlineStr">
        <is>
          <t>資訊組</t>
        </is>
      </c>
      <c r="H44" s="3" t="inlineStr"/>
      <c r="I44" s="3" t="inlineStr">
        <is>
          <t>每月</t>
        </is>
      </c>
      <c r="J44" s="3" t="inlineStr"/>
      <c r="K44" s="3" t="inlineStr">
        <is>
          <t>一般</t>
        </is>
      </c>
      <c r="L44" s="3" t="inlineStr"/>
      <c r="M44" s="3" t="inlineStr">
        <is>
          <t>基礎建設投資的使用情形</t>
        </is>
      </c>
    </row>
    <row r="45">
      <c r="A45" s="3" t="inlineStr">
        <is>
          <t>H01</t>
        </is>
      </c>
      <c r="B45" s="3" t="inlineStr">
        <is>
          <t>升學與畢業流向</t>
        </is>
      </c>
      <c r="C45" s="3" t="inlineStr">
        <is>
          <t>升學管道報名</t>
        </is>
      </c>
      <c r="D45" s="3" t="inlineStr">
        <is>
          <t>報名管道（繁星推薦、個人申請、分發入學等）、志願校系</t>
        </is>
      </c>
      <c r="E45" s="3" t="inlineStr">
        <is>
          <t>甄選會、分發會報名資料</t>
        </is>
      </c>
      <c r="F45" s="3" t="inlineStr"/>
      <c r="G45" s="3" t="inlineStr">
        <is>
          <t>輔導室、教務處</t>
        </is>
      </c>
      <c r="H45" s="3" t="inlineStr"/>
      <c r="I45" s="3" t="inlineStr">
        <is>
          <t>每年</t>
        </is>
      </c>
      <c r="J45" s="3" t="inlineStr"/>
      <c r="K45" s="3" t="inlineStr">
        <is>
          <t>個人</t>
        </is>
      </c>
      <c r="L45" s="3" t="inlineStr"/>
      <c r="M45" s="3" t="inlineStr">
        <is>
          <t>升學策略與管道分布</t>
        </is>
      </c>
    </row>
    <row r="46">
      <c r="A46" s="3" t="inlineStr">
        <is>
          <t>H02</t>
        </is>
      </c>
      <c r="B46" s="3" t="inlineStr">
        <is>
          <t>升學與畢業流向</t>
        </is>
      </c>
      <c r="C46" s="3" t="inlineStr">
        <is>
          <t>錄取結果</t>
        </is>
      </c>
      <c r="D46" s="3" t="inlineStr">
        <is>
          <t>錄取管道、校系、學群</t>
        </is>
      </c>
      <c r="E46" s="3" t="inlineStr">
        <is>
          <t>甄選會、分發會放榜資料</t>
        </is>
      </c>
      <c r="F46" s="3" t="inlineStr"/>
      <c r="G46" s="3" t="inlineStr">
        <is>
          <t>輔導室</t>
        </is>
      </c>
      <c r="H46" s="3" t="inlineStr"/>
      <c r="I46" s="3" t="inlineStr">
        <is>
          <t>每年</t>
        </is>
      </c>
      <c r="J46" s="3" t="inlineStr"/>
      <c r="K46" s="3" t="inlineStr">
        <is>
          <t>個人</t>
        </is>
      </c>
      <c r="L46" s="3" t="inlineStr"/>
      <c r="M46" s="3" t="inlineStr">
        <is>
          <t>錄取學群與校內課程的對應</t>
        </is>
      </c>
    </row>
    <row r="47">
      <c r="A47" s="3" t="inlineStr">
        <is>
          <t>H03</t>
        </is>
      </c>
      <c r="B47" s="3" t="inlineStr">
        <is>
          <t>升學與畢業流向</t>
        </is>
      </c>
      <c r="C47" s="3" t="inlineStr">
        <is>
          <t>畢業生流向</t>
        </is>
      </c>
      <c r="D47" s="3" t="inlineStr">
        <is>
          <t>升學、就業、其他；就讀學校類型</t>
        </is>
      </c>
      <c r="E47" s="3" t="inlineStr">
        <is>
          <t>畢業生流向調查</t>
        </is>
      </c>
      <c r="F47" s="3" t="inlineStr"/>
      <c r="G47" s="3" t="inlineStr">
        <is>
          <t>輔導室</t>
        </is>
      </c>
      <c r="H47" s="3" t="inlineStr"/>
      <c r="I47" s="3" t="inlineStr">
        <is>
          <t>每年</t>
        </is>
      </c>
      <c r="J47" s="3" t="inlineStr"/>
      <c r="K47" s="3" t="inlineStr">
        <is>
          <t>個人</t>
        </is>
      </c>
      <c r="L47" s="3" t="inlineStr"/>
      <c r="M47" s="3" t="inlineStr">
        <is>
          <t>畢業生去向的長期趨勢</t>
        </is>
      </c>
    </row>
    <row r="48">
      <c r="A48" s="3" t="inlineStr">
        <is>
          <t>H04</t>
        </is>
      </c>
      <c r="B48" s="3" t="inlineStr">
        <is>
          <t>升學與畢業流向</t>
        </is>
      </c>
      <c r="C48" s="3" t="inlineStr">
        <is>
          <t>校友追蹤</t>
        </is>
      </c>
      <c r="D48" s="3" t="inlineStr">
        <is>
          <t>就讀校系、轉系、回饋意見</t>
        </is>
      </c>
      <c r="E48" s="3" t="inlineStr">
        <is>
          <t>校友問卷</t>
        </is>
      </c>
      <c r="F48" s="3" t="inlineStr"/>
      <c r="G48" s="3" t="inlineStr">
        <is>
          <t>輔導室、校友會</t>
        </is>
      </c>
      <c r="H48" s="3" t="inlineStr"/>
      <c r="I48" s="3" t="inlineStr">
        <is>
          <t>不定期</t>
        </is>
      </c>
      <c r="J48" s="3" t="inlineStr"/>
      <c r="K48" s="3" t="inlineStr">
        <is>
          <t>個人</t>
        </is>
      </c>
      <c r="L48" s="3" t="inlineStr"/>
      <c r="M48" s="3" t="inlineStr">
        <is>
          <t>高中課程對大學學習的幫助</t>
        </is>
      </c>
    </row>
    <row r="49">
      <c r="A49" s="3" t="inlineStr">
        <is>
          <t>I01</t>
        </is>
      </c>
      <c r="B49" s="3" t="inlineStr">
        <is>
          <t>教師與人力</t>
        </is>
      </c>
      <c r="C49" s="3" t="inlineStr">
        <is>
          <t>教師基本資料</t>
        </is>
      </c>
      <c r="D49" s="3" t="inlineStr">
        <is>
          <t>教師代號、任教科別、職稱、年資、專長與第二專長</t>
        </is>
      </c>
      <c r="E49" s="3" t="inlineStr">
        <is>
          <t>人事系統</t>
        </is>
      </c>
      <c r="F49" s="3" t="inlineStr"/>
      <c r="G49" s="3" t="inlineStr">
        <is>
          <t>人事室</t>
        </is>
      </c>
      <c r="H49" s="3" t="inlineStr"/>
      <c r="I49" s="3" t="inlineStr">
        <is>
          <t>每學年</t>
        </is>
      </c>
      <c r="J49" s="3" t="inlineStr"/>
      <c r="K49" s="3" t="inlineStr">
        <is>
          <t>個人</t>
        </is>
      </c>
      <c r="L49" s="3" t="inlineStr"/>
      <c r="M49" s="3" t="inlineStr">
        <is>
          <t>師資結構與專長配置</t>
        </is>
      </c>
    </row>
    <row r="50">
      <c r="A50" s="3" t="inlineStr">
        <is>
          <t>I02</t>
        </is>
      </c>
      <c r="B50" s="3" t="inlineStr">
        <is>
          <t>教師與人力</t>
        </is>
      </c>
      <c r="C50" s="3" t="inlineStr">
        <is>
          <t>授課與配課</t>
        </is>
      </c>
      <c r="D50" s="3" t="inlineStr">
        <is>
          <t>教師代號、授課科目、班級、節數</t>
        </is>
      </c>
      <c r="E50" s="3" t="inlineStr">
        <is>
          <t>校務系統　課務模組</t>
        </is>
      </c>
      <c r="F50" s="3" t="inlineStr"/>
      <c r="G50" s="3" t="inlineStr">
        <is>
          <t>教學組</t>
        </is>
      </c>
      <c r="H50" s="3" t="inlineStr"/>
      <c r="I50" s="3" t="inlineStr">
        <is>
          <t>每學期</t>
        </is>
      </c>
      <c r="J50" s="3" t="inlineStr"/>
      <c r="K50" s="3" t="inlineStr">
        <is>
          <t>個人</t>
        </is>
      </c>
      <c r="L50" s="3" t="inlineStr"/>
      <c r="M50" s="3" t="inlineStr">
        <is>
          <t>授課負擔與跨領域授課</t>
        </is>
      </c>
    </row>
    <row r="51">
      <c r="A51" s="3" t="inlineStr">
        <is>
          <t>I03</t>
        </is>
      </c>
      <c r="B51" s="3" t="inlineStr">
        <is>
          <t>教師與人力</t>
        </is>
      </c>
      <c r="C51" s="3" t="inlineStr">
        <is>
          <t>研習與專業發展</t>
        </is>
      </c>
      <c r="D51" s="3" t="inlineStr">
        <is>
          <t>研習名稱、時數、類別</t>
        </is>
      </c>
      <c r="E51" s="3" t="inlineStr">
        <is>
          <t>全國教師在職進修資訊網</t>
        </is>
      </c>
      <c r="F51" s="3" t="inlineStr"/>
      <c r="G51" s="3" t="inlineStr">
        <is>
          <t>人事室、教學組</t>
        </is>
      </c>
      <c r="H51" s="3" t="inlineStr"/>
      <c r="I51" s="3" t="inlineStr">
        <is>
          <t>每學期</t>
        </is>
      </c>
      <c r="J51" s="3" t="inlineStr"/>
      <c r="K51" s="3" t="inlineStr">
        <is>
          <t>個人</t>
        </is>
      </c>
      <c r="L51" s="3" t="inlineStr"/>
      <c r="M51" s="3" t="inlineStr">
        <is>
          <t>專業發展投入與主題分布</t>
        </is>
      </c>
    </row>
    <row r="52">
      <c r="A52" s="3" t="inlineStr">
        <is>
          <t>I04</t>
        </is>
      </c>
      <c r="B52" s="3" t="inlineStr">
        <is>
          <t>教師與人力</t>
        </is>
      </c>
      <c r="C52" s="3" t="inlineStr">
        <is>
          <t>專業學習社群</t>
        </is>
      </c>
      <c r="D52" s="3" t="inlineStr">
        <is>
          <t>社群名稱、成員數、聚會次數、成果</t>
        </is>
      </c>
      <c r="E52" s="3" t="inlineStr">
        <is>
          <t>教學組登錄表</t>
        </is>
      </c>
      <c r="F52" s="3" t="inlineStr"/>
      <c r="G52" s="3" t="inlineStr">
        <is>
          <t>教學組</t>
        </is>
      </c>
      <c r="H52" s="3" t="inlineStr"/>
      <c r="I52" s="3" t="inlineStr">
        <is>
          <t>每學年</t>
        </is>
      </c>
      <c r="J52" s="3" t="inlineStr"/>
      <c r="K52" s="3" t="inlineStr">
        <is>
          <t>一般</t>
        </is>
      </c>
      <c r="L52" s="3" t="inlineStr"/>
      <c r="M52" s="3" t="inlineStr">
        <is>
          <t>教師協作的過程指標</t>
        </is>
      </c>
    </row>
    <row r="53">
      <c r="A53" s="3" t="inlineStr">
        <is>
          <t>I05</t>
        </is>
      </c>
      <c r="B53" s="3" t="inlineStr">
        <is>
          <t>教師與人力</t>
        </is>
      </c>
      <c r="C53" s="3" t="inlineStr">
        <is>
          <t>職員與人力配置</t>
        </is>
      </c>
      <c r="D53" s="3" t="inlineStr">
        <is>
          <t>職務、員額、代理代課</t>
        </is>
      </c>
      <c r="E53" s="3" t="inlineStr">
        <is>
          <t>人事系統</t>
        </is>
      </c>
      <c r="F53" s="3" t="inlineStr"/>
      <c r="G53" s="3" t="inlineStr">
        <is>
          <t>人事室</t>
        </is>
      </c>
      <c r="H53" s="3" t="inlineStr"/>
      <c r="I53" s="3" t="inlineStr">
        <is>
          <t>每學年</t>
        </is>
      </c>
      <c r="J53" s="3" t="inlineStr"/>
      <c r="K53" s="3" t="inlineStr">
        <is>
          <t>個人</t>
        </is>
      </c>
      <c r="L53" s="3" t="inlineStr"/>
      <c r="M53" s="3" t="inlineStr">
        <is>
          <t>行政人力負擔與流動</t>
        </is>
      </c>
    </row>
    <row r="54">
      <c r="A54" s="3" t="inlineStr">
        <is>
          <t>J01</t>
        </is>
      </c>
      <c r="B54" s="3" t="inlineStr">
        <is>
          <t>計畫、經費與資源</t>
        </is>
      </c>
      <c r="C54" s="3" t="inlineStr">
        <is>
          <t>計畫清單</t>
        </is>
      </c>
      <c r="D54" s="3" t="inlineStr">
        <is>
          <t>計畫代號、名稱、經費來源、年度、核定經費、承辦處室、對應指標代號</t>
        </is>
      </c>
      <c r="E54" s="3" t="inlineStr">
        <is>
          <t>承辦人維護</t>
        </is>
      </c>
      <c r="F54" s="3" t="inlineStr"/>
      <c r="G54" s="3" t="inlineStr">
        <is>
          <t>各計畫承辦</t>
        </is>
      </c>
      <c r="H54" s="3" t="inlineStr"/>
      <c r="I54" s="3" t="inlineStr">
        <is>
          <t>每年</t>
        </is>
      </c>
      <c r="J54" s="3" t="inlineStr"/>
      <c r="K54" s="3" t="inlineStr">
        <is>
          <t>一般</t>
        </is>
      </c>
      <c r="L54" s="3" t="inlineStr"/>
      <c r="M54" s="3" t="inlineStr">
        <is>
          <t>經費與指標的對應</t>
        </is>
      </c>
    </row>
    <row r="55">
      <c r="A55" s="3" t="inlineStr">
        <is>
          <t>J02</t>
        </is>
      </c>
      <c r="B55" s="3" t="inlineStr">
        <is>
          <t>計畫、經費與資源</t>
        </is>
      </c>
      <c r="C55" s="3" t="inlineStr">
        <is>
          <t>計畫參與紀錄</t>
        </is>
      </c>
      <c r="D55" s="3" t="inlineStr">
        <is>
          <t>計畫代號、學號、學年、參與時數</t>
        </is>
      </c>
      <c r="E55" s="3" t="inlineStr">
        <is>
          <t>Google 表單／Forms、承辦人 Excel</t>
        </is>
      </c>
      <c r="F55" s="3" t="inlineStr"/>
      <c r="G55" s="3" t="inlineStr">
        <is>
          <t>各計畫承辦</t>
        </is>
      </c>
      <c r="H55" s="3" t="inlineStr"/>
      <c r="I55" s="3" t="inlineStr">
        <is>
          <t>每次活動</t>
        </is>
      </c>
      <c r="J55" s="3" t="inlineStr"/>
      <c r="K55" s="3" t="inlineStr">
        <is>
          <t>個人</t>
        </is>
      </c>
      <c r="L55" s="3" t="inlineStr"/>
      <c r="M55" s="3" t="inlineStr">
        <is>
          <t>資源流向與重複投入分析</t>
        </is>
      </c>
    </row>
    <row r="56">
      <c r="A56" s="3" t="inlineStr">
        <is>
          <t>J03</t>
        </is>
      </c>
      <c r="B56" s="3" t="inlineStr">
        <is>
          <t>計畫、經費與資源</t>
        </is>
      </c>
      <c r="C56" s="3" t="inlineStr">
        <is>
          <t>經費預算與執行</t>
        </is>
      </c>
      <c r="D56" s="3" t="inlineStr">
        <is>
          <t>科目、預算數、執行數、執行率</t>
        </is>
      </c>
      <c r="E56" s="3" t="inlineStr">
        <is>
          <t>會計系統</t>
        </is>
      </c>
      <c r="F56" s="3" t="inlineStr"/>
      <c r="G56" s="3" t="inlineStr">
        <is>
          <t>會計室</t>
        </is>
      </c>
      <c r="H56" s="3" t="inlineStr"/>
      <c r="I56" s="3" t="inlineStr">
        <is>
          <t>每月／每年</t>
        </is>
      </c>
      <c r="J56" s="3" t="inlineStr"/>
      <c r="K56" s="3" t="inlineStr">
        <is>
          <t>一般</t>
        </is>
      </c>
      <c r="L56" s="3" t="inlineStr"/>
      <c r="M56" s="3" t="inlineStr">
        <is>
          <t>投入產出比</t>
        </is>
      </c>
    </row>
    <row r="57">
      <c r="A57" s="3" t="inlineStr">
        <is>
          <t>J04</t>
        </is>
      </c>
      <c r="B57" s="3" t="inlineStr">
        <is>
          <t>計畫、經費與資源</t>
        </is>
      </c>
      <c r="C57" s="3" t="inlineStr">
        <is>
          <t>財產與設備</t>
        </is>
      </c>
      <c r="D57" s="3" t="inlineStr">
        <is>
          <t>財產編號、名稱、購置年度、存放地點、狀態</t>
        </is>
      </c>
      <c r="E57" s="3" t="inlineStr">
        <is>
          <t>財產管理系統</t>
        </is>
      </c>
      <c r="F57" s="3" t="inlineStr"/>
      <c r="G57" s="3" t="inlineStr">
        <is>
          <t>總務處、設備組</t>
        </is>
      </c>
      <c r="H57" s="3" t="inlineStr"/>
      <c r="I57" s="3" t="inlineStr">
        <is>
          <t>每年</t>
        </is>
      </c>
      <c r="J57" s="3" t="inlineStr"/>
      <c r="K57" s="3" t="inlineStr">
        <is>
          <t>一般</t>
        </is>
      </c>
      <c r="L57" s="3" t="inlineStr"/>
      <c r="M57" s="3" t="inlineStr">
        <is>
          <t>設備使用率與汰換規劃</t>
        </is>
      </c>
    </row>
    <row r="58">
      <c r="A58" s="3" t="inlineStr">
        <is>
          <t>J05</t>
        </is>
      </c>
      <c r="B58" s="3" t="inlineStr">
        <is>
          <t>計畫、經費與資源</t>
        </is>
      </c>
      <c r="C58" s="3" t="inlineStr">
        <is>
          <t>空間使用</t>
        </is>
      </c>
      <c r="D58" s="3" t="inlineStr">
        <is>
          <t>教室借用紀錄、使用時數</t>
        </is>
      </c>
      <c r="E58" s="3" t="inlineStr">
        <is>
          <t>場地借用系統或登記表</t>
        </is>
      </c>
      <c r="F58" s="3" t="inlineStr"/>
      <c r="G58" s="3" t="inlineStr">
        <is>
          <t>總務處、設備組</t>
        </is>
      </c>
      <c r="H58" s="3" t="inlineStr"/>
      <c r="I58" s="3" t="inlineStr">
        <is>
          <t>每學期</t>
        </is>
      </c>
      <c r="J58" s="3" t="inlineStr"/>
      <c r="K58" s="3" t="inlineStr">
        <is>
          <t>一般</t>
        </is>
      </c>
      <c r="L58" s="3" t="inlineStr"/>
      <c r="M58" s="3" t="inlineStr">
        <is>
          <t>專科教室與空間效益</t>
        </is>
      </c>
    </row>
    <row r="59">
      <c r="A59" s="3" t="inlineStr">
        <is>
          <t>J06</t>
        </is>
      </c>
      <c r="B59" s="3" t="inlineStr">
        <is>
          <t>計畫、經費與資源</t>
        </is>
      </c>
      <c r="C59" s="3" t="inlineStr">
        <is>
          <t>圖書館借閱</t>
        </is>
      </c>
      <c r="D59" s="3" t="inlineStr">
        <is>
          <t>借閱冊數、類別、借閱人類別</t>
        </is>
      </c>
      <c r="E59" s="3" t="inlineStr">
        <is>
          <t>圖書館自動化系統</t>
        </is>
      </c>
      <c r="F59" s="3" t="inlineStr"/>
      <c r="G59" s="3" t="inlineStr">
        <is>
          <t>圖書館</t>
        </is>
      </c>
      <c r="H59" s="3" t="inlineStr"/>
      <c r="I59" s="3" t="inlineStr">
        <is>
          <t>每月</t>
        </is>
      </c>
      <c r="J59" s="3" t="inlineStr"/>
      <c r="K59" s="3" t="inlineStr">
        <is>
          <t>一般</t>
        </is>
      </c>
      <c r="L59" s="3" t="inlineStr"/>
      <c r="M59" s="3" t="inlineStr">
        <is>
          <t>閱讀推廣成效（以彙總呈現）</t>
        </is>
      </c>
    </row>
    <row r="60">
      <c r="A60" s="3" t="inlineStr">
        <is>
          <t>K01</t>
        </is>
      </c>
      <c r="B60" s="3" t="inlineStr">
        <is>
          <t>學校治理與外部對照</t>
        </is>
      </c>
      <c r="C60" s="3" t="inlineStr">
        <is>
          <t>招生資料</t>
        </is>
      </c>
      <c r="D60" s="3" t="inlineStr">
        <is>
          <t>報名人數、錄取人數、報到率、來源國中</t>
        </is>
      </c>
      <c r="E60" s="3" t="inlineStr">
        <is>
          <t>招生與報到資料</t>
        </is>
      </c>
      <c r="F60" s="3" t="inlineStr"/>
      <c r="G60" s="3" t="inlineStr">
        <is>
          <t>教務處、註冊組</t>
        </is>
      </c>
      <c r="H60" s="3" t="inlineStr"/>
      <c r="I60" s="3" t="inlineStr">
        <is>
          <t>每年</t>
        </is>
      </c>
      <c r="J60" s="3" t="inlineStr"/>
      <c r="K60" s="3" t="inlineStr">
        <is>
          <t>一般</t>
        </is>
      </c>
      <c r="L60" s="3" t="inlineStr"/>
      <c r="M60" s="3" t="inlineStr">
        <is>
          <t>招生趨勢與來源分析</t>
        </is>
      </c>
    </row>
    <row r="61">
      <c r="A61" s="3" t="inlineStr">
        <is>
          <t>K02</t>
        </is>
      </c>
      <c r="B61" s="3" t="inlineStr">
        <is>
          <t>學校治理與外部對照</t>
        </is>
      </c>
      <c r="C61" s="3" t="inlineStr">
        <is>
          <t>滿意度調查</t>
        </is>
      </c>
      <c r="D61" s="3" t="inlineStr">
        <is>
          <t>學生、家長、教師滿意度（匿名）</t>
        </is>
      </c>
      <c r="E61" s="3" t="inlineStr">
        <is>
          <t>Google 表單／Forms</t>
        </is>
      </c>
      <c r="F61" s="3" t="inlineStr"/>
      <c r="G61" s="3" t="inlineStr">
        <is>
          <t>各處室</t>
        </is>
      </c>
      <c r="H61" s="3" t="inlineStr"/>
      <c r="I61" s="3" t="inlineStr">
        <is>
          <t>每年</t>
        </is>
      </c>
      <c r="J61" s="3" t="inlineStr"/>
      <c r="K61" s="3" t="inlineStr">
        <is>
          <t>一般</t>
        </is>
      </c>
      <c r="L61" s="3" t="inlineStr"/>
      <c r="M61" s="3" t="inlineStr">
        <is>
          <t>校務經營的利害關係人回饋</t>
        </is>
      </c>
    </row>
    <row r="62">
      <c r="A62" s="3" t="inlineStr">
        <is>
          <t>K03</t>
        </is>
      </c>
      <c r="B62" s="3" t="inlineStr">
        <is>
          <t>學校治理與外部對照</t>
        </is>
      </c>
      <c r="C62" s="3" t="inlineStr">
        <is>
          <t>家長參與</t>
        </is>
      </c>
      <c r="D62" s="3" t="inlineStr">
        <is>
          <t>親師座談出席、家長會活動參與</t>
        </is>
      </c>
      <c r="E62" s="3" t="inlineStr">
        <is>
          <t>學務處、輔導室登錄</t>
        </is>
      </c>
      <c r="F62" s="3" t="inlineStr"/>
      <c r="G62" s="3" t="inlineStr">
        <is>
          <t>學務處、輔導室</t>
        </is>
      </c>
      <c r="H62" s="3" t="inlineStr"/>
      <c r="I62" s="3" t="inlineStr">
        <is>
          <t>每學期</t>
        </is>
      </c>
      <c r="J62" s="3" t="inlineStr"/>
      <c r="K62" s="3" t="inlineStr">
        <is>
          <t>個人</t>
        </is>
      </c>
      <c r="L62" s="3" t="inlineStr"/>
      <c r="M62" s="3" t="inlineStr">
        <is>
          <t>親師合作程度</t>
        </is>
      </c>
    </row>
    <row r="63">
      <c r="A63" s="3" t="inlineStr">
        <is>
          <t>K04</t>
        </is>
      </c>
      <c r="B63" s="3" t="inlineStr">
        <is>
          <t>學校治理與外部對照</t>
        </is>
      </c>
      <c r="C63" s="3" t="inlineStr">
        <is>
          <t>校務評鑑與自我評估</t>
        </is>
      </c>
      <c r="D63" s="3" t="inlineStr">
        <is>
          <t>評鑑項目、結果、改進事項</t>
        </is>
      </c>
      <c r="E63" s="3" t="inlineStr">
        <is>
          <t>評鑑報告</t>
        </is>
      </c>
      <c r="F63" s="3" t="inlineStr"/>
      <c r="G63" s="3" t="inlineStr">
        <is>
          <t>秘書、各處室</t>
        </is>
      </c>
      <c r="H63" s="3" t="inlineStr"/>
      <c r="I63" s="3" t="inlineStr">
        <is>
          <t>依評鑑週期</t>
        </is>
      </c>
      <c r="J63" s="3" t="inlineStr"/>
      <c r="K63" s="3" t="inlineStr">
        <is>
          <t>一般</t>
        </is>
      </c>
      <c r="L63" s="3" t="inlineStr"/>
      <c r="M63" s="3" t="inlineStr">
        <is>
          <t>改進事項追蹤</t>
        </is>
      </c>
    </row>
    <row r="64">
      <c r="A64" s="3" t="inlineStr">
        <is>
          <t>K05</t>
        </is>
      </c>
      <c r="B64" s="3" t="inlineStr">
        <is>
          <t>學校治理與外部對照</t>
        </is>
      </c>
      <c r="C64" s="3" t="inlineStr">
        <is>
          <t>學校基本統計</t>
        </is>
      </c>
      <c r="D64" s="3" t="inlineStr">
        <is>
          <t>班級數、學生數、教師數、生師比</t>
        </is>
      </c>
      <c r="E64" s="3" t="inlineStr">
        <is>
          <t>教育部統計處</t>
        </is>
      </c>
      <c r="F64" s="3" t="inlineStr"/>
      <c r="G64" s="3" t="inlineStr">
        <is>
          <t>秘書、教務處</t>
        </is>
      </c>
      <c r="H64" s="3" t="inlineStr"/>
      <c r="I64" s="3" t="inlineStr">
        <is>
          <t>每年</t>
        </is>
      </c>
      <c r="J64" s="3" t="inlineStr"/>
      <c r="K64" s="3" t="inlineStr">
        <is>
          <t>一般</t>
        </is>
      </c>
      <c r="L64" s="3" t="inlineStr"/>
      <c r="M64" s="3" t="inlineStr">
        <is>
          <t>與同類學校比較</t>
        </is>
      </c>
    </row>
    <row r="65">
      <c r="A65" s="3" t="inlineStr">
        <is>
          <t>K06</t>
        </is>
      </c>
      <c r="B65" s="3" t="inlineStr">
        <is>
          <t>學校治理與外部對照</t>
        </is>
      </c>
      <c r="C65" s="3" t="inlineStr">
        <is>
          <t>區域與開放資料</t>
        </is>
      </c>
      <c r="D65" s="3" t="inlineStr">
        <is>
          <t>學區人口、國中畢業生數、各校統計</t>
        </is>
      </c>
      <c r="E65" s="3" t="inlineStr">
        <is>
          <t>政府資料開放平臺、教育部統計</t>
        </is>
      </c>
      <c r="F65" s="3" t="inlineStr"/>
      <c r="G65" s="3" t="inlineStr">
        <is>
          <t>秘書、教務處</t>
        </is>
      </c>
      <c r="H65" s="3" t="inlineStr"/>
      <c r="I65" s="3" t="inlineStr">
        <is>
          <t>每年</t>
        </is>
      </c>
      <c r="J65" s="3" t="inlineStr"/>
      <c r="K65" s="3" t="inlineStr">
        <is>
          <t>一般</t>
        </is>
      </c>
      <c r="L65" s="3" t="inlineStr"/>
      <c r="M65" s="3" t="inlineStr">
        <is>
          <t>招生規劃與校際比較背景</t>
        </is>
      </c>
    </row>
  </sheetData>
  <autoFilter ref="A3:M65"/>
  <conditionalFormatting sqref="A4:M105">
    <cfRule type="expression" priority="1" dxfId="0">
      <formula>$K4="高敏感"</formula>
    </cfRule>
    <cfRule type="expression" priority="2" dxfId="1">
      <formula>$K4="個人"</formula>
    </cfRule>
  </conditionalFormatting>
  <dataValidations count="3">
    <dataValidation sqref="K4:K105" showDropDown="0" showInputMessage="0" showErrorMessage="0" allowBlank="1" type="list">
      <formula1>"一般,個人,高敏感"</formula1>
    </dataValidation>
    <dataValidation sqref="J4:J105" showDropDown="0" showInputMessage="0" showErrorMessage="0" allowBlank="1" type="list">
      <formula1>"手動匯出,平台匯出,下載檔案,API,表單直連,人工維護,只取彙總數,廠商排程匯出,尚無資料"</formula1>
    </dataValidation>
    <dataValidation sqref="L4:L105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8" customWidth="1" min="4" max="4"/>
    <col width="12" customWidth="1" min="5" max="5"/>
    <col width="50" customWidth="1" min="6" max="6"/>
    <col width="12" customWidth="1" min="7" max="7"/>
    <col width="10" customWidth="1" min="8" max="8"/>
  </cols>
  <sheetData>
    <row r="1">
      <c r="A1" s="1" t="inlineStr">
        <is>
          <t>範例：研習產出的「整合分析表」。新增欄位時請同步補一列。</t>
        </is>
      </c>
    </row>
    <row r="3">
      <c r="A3" s="2" t="inlineStr">
        <is>
          <t>欄位名稱</t>
        </is>
      </c>
      <c r="B3" s="2" t="inlineStr">
        <is>
          <t>意義</t>
        </is>
      </c>
      <c r="C3" s="2" t="inlineStr">
        <is>
          <t>型態</t>
        </is>
      </c>
      <c r="D3" s="2" t="inlineStr">
        <is>
          <t>來源</t>
        </is>
      </c>
      <c r="E3" s="2" t="inlineStr">
        <is>
          <t>負責處室</t>
        </is>
      </c>
      <c r="F3" s="2" t="inlineStr">
        <is>
          <t>規則</t>
        </is>
      </c>
      <c r="G3" s="2" t="inlineStr">
        <is>
          <t>範例值</t>
        </is>
      </c>
      <c r="H3" s="2" t="inlineStr">
        <is>
          <t>敏感度</t>
        </is>
      </c>
    </row>
    <row r="4">
      <c r="A4" s="3" t="inlineStr">
        <is>
          <t>學號</t>
        </is>
      </c>
      <c r="B4" s="3" t="inlineStr">
        <is>
          <t>學生識別碼</t>
        </is>
      </c>
      <c r="C4" s="3" t="inlineStr">
        <is>
          <t>文字</t>
        </is>
      </c>
      <c r="D4" s="3" t="inlineStr">
        <is>
          <t>系統A 學生名冊</t>
        </is>
      </c>
      <c r="E4" s="3" t="inlineStr">
        <is>
          <t>註冊組</t>
        </is>
      </c>
      <c r="F4" s="3" t="inlineStr">
        <is>
          <t>一律文字，不可轉成數字；6 碼</t>
        </is>
      </c>
      <c r="G4" s="3" t="inlineStr">
        <is>
          <t>111023</t>
        </is>
      </c>
      <c r="H4" s="3" t="inlineStr">
        <is>
          <t>個人</t>
        </is>
      </c>
    </row>
    <row r="5">
      <c r="A5" s="3" t="inlineStr">
        <is>
          <t>班級</t>
        </is>
      </c>
      <c r="B5" s="3" t="inlineStr">
        <is>
          <t>學期當時的班級</t>
        </is>
      </c>
      <c r="C5" s="3" t="inlineStr">
        <is>
          <t>文字</t>
        </is>
      </c>
      <c r="D5" s="3" t="inlineStr">
        <is>
          <t>名冊快照</t>
        </is>
      </c>
      <c r="E5" s="3" t="inlineStr">
        <is>
          <t>註冊組</t>
        </is>
      </c>
      <c r="F5" s="3" t="inlineStr">
        <is>
          <t>標準寫法 301；其他寫法以班級對照表轉換</t>
        </is>
      </c>
      <c r="G5" s="3" t="inlineStr">
        <is>
          <t>301</t>
        </is>
      </c>
      <c r="H5" s="3" t="inlineStr">
        <is>
          <t>一般</t>
        </is>
      </c>
    </row>
    <row r="6">
      <c r="A6" s="3" t="inlineStr">
        <is>
          <t>班群</t>
        </is>
      </c>
      <c r="B6" s="3" t="inlineStr">
        <is>
          <t>自然組／社會組</t>
        </is>
      </c>
      <c r="C6" s="3" t="inlineStr">
        <is>
          <t>文字</t>
        </is>
      </c>
      <c r="D6" s="3" t="inlineStr">
        <is>
          <t>班級對照表</t>
        </is>
      </c>
      <c r="E6" s="3" t="inlineStr">
        <is>
          <t>教學組</t>
        </is>
      </c>
      <c r="F6" s="3" t="inlineStr">
        <is>
          <t>由班級對照帶入</t>
        </is>
      </c>
      <c r="G6" s="3" t="inlineStr">
        <is>
          <t>自然組</t>
        </is>
      </c>
      <c r="H6" s="3" t="inlineStr">
        <is>
          <t>一般</t>
        </is>
      </c>
    </row>
    <row r="7">
      <c r="A7" s="3" t="inlineStr">
        <is>
          <t>入學管道</t>
        </is>
      </c>
      <c r="B7" s="3" t="inlineStr">
        <is>
          <t>免試入學、特色招生、直升入學、其他</t>
        </is>
      </c>
      <c r="C7" s="3" t="inlineStr">
        <is>
          <t>文字</t>
        </is>
      </c>
      <c r="D7" s="3" t="inlineStr">
        <is>
          <t>系統A 學生名冊</t>
        </is>
      </c>
      <c r="E7" s="3" t="inlineStr">
        <is>
          <t>註冊組</t>
        </is>
      </c>
      <c r="F7" s="3" t="inlineStr"/>
      <c r="G7" s="3" t="inlineStr">
        <is>
          <t>免試入學</t>
        </is>
      </c>
      <c r="H7" s="3" t="inlineStr">
        <is>
          <t>個人</t>
        </is>
      </c>
    </row>
    <row r="8">
      <c r="A8" s="3" t="inlineStr">
        <is>
          <t>學年學期</t>
        </is>
      </c>
      <c r="B8" s="3" t="inlineStr">
        <is>
          <t>資料所屬學期</t>
        </is>
      </c>
      <c r="C8" s="3" t="inlineStr">
        <is>
          <t>文字</t>
        </is>
      </c>
      <c r="D8" s="3" t="inlineStr">
        <is>
          <t>各來源</t>
        </is>
      </c>
      <c r="E8" s="3" t="inlineStr">
        <is>
          <t>—</t>
        </is>
      </c>
      <c r="F8" s="3" t="inlineStr">
        <is>
          <t>標準寫法 113-1；8/1～隔年 1/31 為第 1 學期</t>
        </is>
      </c>
      <c r="G8" s="3" t="inlineStr">
        <is>
          <t>113-1</t>
        </is>
      </c>
      <c r="H8" s="3" t="inlineStr">
        <is>
          <t>一般</t>
        </is>
      </c>
    </row>
    <row r="9">
      <c r="A9" s="3" t="inlineStr">
        <is>
          <t>五科平均</t>
        </is>
      </c>
      <c r="B9" s="3" t="inlineStr">
        <is>
          <t>段考五科平均</t>
        </is>
      </c>
      <c r="C9" s="3" t="inlineStr">
        <is>
          <t>數字</t>
        </is>
      </c>
      <c r="D9" s="3" t="inlineStr">
        <is>
          <t>系統B 段考成績</t>
        </is>
      </c>
      <c r="E9" s="3" t="inlineStr">
        <is>
          <t>教學組</t>
        </is>
      </c>
      <c r="F9" s="3" t="inlineStr">
        <is>
          <t>只計狀態＝正常；缺考、未登錄不列入</t>
        </is>
      </c>
      <c r="G9" s="3" t="inlineStr">
        <is>
          <t>68.4</t>
        </is>
      </c>
      <c r="H9" s="3" t="inlineStr">
        <is>
          <t>個人</t>
        </is>
      </c>
    </row>
    <row r="10">
      <c r="A10" s="3" t="inlineStr">
        <is>
          <t>缺考科數</t>
        </is>
      </c>
      <c r="B10" s="3" t="inlineStr">
        <is>
          <t>段考缺考科數</t>
        </is>
      </c>
      <c r="C10" s="3" t="inlineStr">
        <is>
          <t>整數</t>
        </is>
      </c>
      <c r="D10" s="3" t="inlineStr">
        <is>
          <t>系統B 段考成績</t>
        </is>
      </c>
      <c r="E10" s="3" t="inlineStr">
        <is>
          <t>教學組</t>
        </is>
      </c>
      <c r="F10" s="3" t="inlineStr">
        <is>
          <t>原始值為「缺」者</t>
        </is>
      </c>
      <c r="G10" s="3" t="inlineStr">
        <is>
          <t>0</t>
        </is>
      </c>
      <c r="H10" s="3" t="inlineStr">
        <is>
          <t>個人</t>
        </is>
      </c>
    </row>
    <row r="11">
      <c r="A11" s="3" t="inlineStr">
        <is>
          <t>曠課節數</t>
        </is>
      </c>
      <c r="B11" s="3" t="inlineStr">
        <is>
          <t>本學期曠課節數</t>
        </is>
      </c>
      <c r="C11" s="3" t="inlineStr">
        <is>
          <t>整數</t>
        </is>
      </c>
      <c r="D11" s="3" t="inlineStr">
        <is>
          <t>系統C 出缺席</t>
        </is>
      </c>
      <c r="E11" s="3" t="inlineStr">
        <is>
          <t>生輔組</t>
        </is>
      </c>
      <c r="F11" s="3" t="inlineStr">
        <is>
          <t>修剪學號、去除重複登錄後計算；無紀錄補 0</t>
        </is>
      </c>
      <c r="G11" s="3" t="inlineStr">
        <is>
          <t>2</t>
        </is>
      </c>
      <c r="H11" s="3" t="inlineStr">
        <is>
          <t>個人</t>
        </is>
      </c>
    </row>
    <row r="12">
      <c r="A12" s="3" t="inlineStr">
        <is>
          <t>請假節數</t>
        </is>
      </c>
      <c r="B12" s="3" t="inlineStr">
        <is>
          <t>本學期事假＋病假節數</t>
        </is>
      </c>
      <c r="C12" s="3" t="inlineStr">
        <is>
          <t>整數</t>
        </is>
      </c>
      <c r="D12" s="3" t="inlineStr">
        <is>
          <t>系統C 出缺席</t>
        </is>
      </c>
      <c r="E12" s="3" t="inlineStr">
        <is>
          <t>生輔組</t>
        </is>
      </c>
      <c r="F12" s="3" t="inlineStr">
        <is>
          <t>公假、遲到不列入</t>
        </is>
      </c>
      <c r="G12" s="3" t="inlineStr">
        <is>
          <t>3</t>
        </is>
      </c>
      <c r="H12" s="3" t="inlineStr">
        <is>
          <t>個人</t>
        </is>
      </c>
    </row>
    <row r="13">
      <c r="A13" s="3" t="inlineStr">
        <is>
          <t>上傳率</t>
        </is>
      </c>
      <c r="B13" s="3" t="inlineStr">
        <is>
          <t>課程學習成果上傳率（%）</t>
        </is>
      </c>
      <c r="C13" s="3" t="inlineStr">
        <is>
          <t>數字</t>
        </is>
      </c>
      <c r="D13" s="3" t="inlineStr">
        <is>
          <t>系統D 學習歷程</t>
        </is>
      </c>
      <c r="E13" s="3" t="inlineStr">
        <is>
          <t>教務處</t>
        </is>
      </c>
      <c r="F13" s="3" t="inlineStr">
        <is>
          <t>已上傳 ÷ 應上傳；彙總時用加總相除，不用平均的平均</t>
        </is>
      </c>
      <c r="G13" s="3" t="inlineStr">
        <is>
          <t>66.7</t>
        </is>
      </c>
      <c r="H13" s="3" t="inlineStr">
        <is>
          <t>個人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26" customWidth="1" min="4" max="4"/>
    <col width="46" customWidth="1" min="5" max="5"/>
    <col width="8" customWidth="1" min="6" max="6"/>
    <col width="32" customWidth="1" min="7" max="7"/>
  </cols>
  <sheetData>
    <row r="1">
      <c r="A1" s="1" t="inlineStr">
        <is>
          <t>公式 A～F 的完整內容見講師手冊。規則有變動時，在此登記並註明日期。</t>
        </is>
      </c>
    </row>
    <row r="3">
      <c r="A3" s="2" t="inlineStr">
        <is>
          <t>規則代號</t>
        </is>
      </c>
      <c r="B3" s="2" t="inlineStr">
        <is>
          <t>適用來源</t>
        </is>
      </c>
      <c r="C3" s="2" t="inlineStr">
        <is>
          <t>問題</t>
        </is>
      </c>
      <c r="D3" s="2" t="inlineStr">
        <is>
          <t>例子</t>
        </is>
      </c>
      <c r="E3" s="2" t="inlineStr">
        <is>
          <t>Power Query 動作</t>
        </is>
      </c>
      <c r="F3" s="2" t="inlineStr">
        <is>
          <t>公式</t>
        </is>
      </c>
      <c r="G3" s="2" t="inlineStr">
        <is>
          <t>注意事項</t>
        </is>
      </c>
    </row>
    <row r="4">
      <c r="A4" s="3" t="inlineStr">
        <is>
          <t>R01</t>
        </is>
      </c>
      <c r="B4" s="3" t="inlineStr">
        <is>
          <t>系統B 段考</t>
        </is>
      </c>
      <c r="C4" s="3" t="inlineStr">
        <is>
          <t>報表式表頭</t>
        </is>
      </c>
      <c r="D4" s="3" t="inlineStr">
        <is>
          <t>前 3 列為標題與列印日期</t>
        </is>
      </c>
      <c r="E4" s="3" t="inlineStr">
        <is>
          <t>移除頂端資料列 3 → 使用第一個資料列作為標頭</t>
        </is>
      </c>
      <c r="F4" s="3" t="inlineStr"/>
      <c r="G4" s="3" t="inlineStr">
        <is>
          <t>報表格式改版時列數會變</t>
        </is>
      </c>
    </row>
    <row r="5">
      <c r="A5" s="3" t="inlineStr">
        <is>
          <t>R02</t>
        </is>
      </c>
      <c r="B5" s="3" t="inlineStr">
        <is>
          <t>系統B 段考</t>
        </is>
      </c>
      <c r="C5" s="3" t="inlineStr">
        <is>
          <t>重複標題列、班平均列</t>
        </is>
      </c>
      <c r="D5" s="3" t="inlineStr">
        <is>
          <t>每班一個標題列、一列班平均</t>
        </is>
      </c>
      <c r="E5" s="3" t="inlineStr">
        <is>
          <t>篩選學號：取消 (null) 與「學號」</t>
        </is>
      </c>
      <c r="F5" s="3" t="inlineStr"/>
      <c r="G5" s="3" t="inlineStr"/>
    </row>
    <row r="6">
      <c r="A6" s="3" t="inlineStr">
        <is>
          <t>R03</t>
        </is>
      </c>
      <c r="B6" s="3" t="inlineStr">
        <is>
          <t>全部</t>
        </is>
      </c>
      <c r="C6" s="3" t="inlineStr">
        <is>
          <t>學號型態不一</t>
        </is>
      </c>
      <c r="D6" s="3" t="inlineStr">
        <is>
          <t>文字 111023 vs 數字 111023</t>
        </is>
      </c>
      <c r="E6" s="3" t="inlineStr">
        <is>
          <t>所有查詢的學號都變更類型為「文字」</t>
        </is>
      </c>
      <c r="F6" s="3" t="inlineStr"/>
      <c r="G6" s="3" t="inlineStr">
        <is>
          <t>型態不同時合併不會報錯，只會對不到</t>
        </is>
      </c>
    </row>
    <row r="7">
      <c r="A7" s="3" t="inlineStr">
        <is>
          <t>R04</t>
        </is>
      </c>
      <c r="B7" s="3" t="inlineStr">
        <is>
          <t>系統C 出缺席</t>
        </is>
      </c>
      <c r="C7" s="3" t="inlineStr">
        <is>
          <t>前後空白</t>
        </is>
      </c>
      <c r="D7" s="3" t="inlineStr">
        <is>
          <t>"111023 "</t>
        </is>
      </c>
      <c r="E7" s="3" t="inlineStr">
        <is>
          <t>轉換 ▸ 格式 ▸ 修剪</t>
        </is>
      </c>
      <c r="F7" s="3" t="inlineStr"/>
      <c r="G7" s="3" t="inlineStr">
        <is>
          <t>必須在去重之前</t>
        </is>
      </c>
    </row>
    <row r="8">
      <c r="A8" s="3" t="inlineStr">
        <is>
          <t>R05</t>
        </is>
      </c>
      <c r="B8" s="3" t="inlineStr">
        <is>
          <t>系統C 出缺席</t>
        </is>
      </c>
      <c r="C8" s="3" t="inlineStr">
        <is>
          <t>重複登錄</t>
        </is>
      </c>
      <c r="D8" s="3" t="inlineStr">
        <is>
          <t>同一筆登錄兩次</t>
        </is>
      </c>
      <c r="E8" s="3" t="inlineStr">
        <is>
          <t>移除重複項目</t>
        </is>
      </c>
      <c r="F8" s="3" t="inlineStr"/>
      <c r="G8" s="3" t="inlineStr">
        <is>
          <t>必須在修剪之後</t>
        </is>
      </c>
    </row>
    <row r="9">
      <c r="A9" s="3" t="inlineStr">
        <is>
          <t>R06</t>
        </is>
      </c>
      <c r="B9" s="3" t="inlineStr">
        <is>
          <t>系統C 出缺席</t>
        </is>
      </c>
      <c r="C9" s="3" t="inlineStr">
        <is>
          <t>檔案編碼</t>
        </is>
      </c>
      <c r="D9" s="3" t="inlineStr">
        <is>
          <t>Big5 CSV 開啟亂碼</t>
        </is>
      </c>
      <c r="E9" s="3" t="inlineStr">
        <is>
          <t>檔案原點選 950：繁體中文 (Big5)</t>
        </is>
      </c>
      <c r="F9" s="3" t="inlineStr"/>
      <c r="G9" s="3" t="inlineStr"/>
    </row>
    <row r="10">
      <c r="A10" s="3" t="inlineStr">
        <is>
          <t>R07</t>
        </is>
      </c>
      <c r="B10" s="3" t="inlineStr">
        <is>
          <t>系統C 出缺席</t>
        </is>
      </c>
      <c r="C10" s="3" t="inlineStr">
        <is>
          <t>民國日期</t>
        </is>
      </c>
      <c r="D10" s="3" t="inlineStr">
        <is>
          <t>113/09/05</t>
        </is>
      </c>
      <c r="E10" s="3" t="inlineStr">
        <is>
          <t>自訂資料行</t>
        </is>
      </c>
      <c r="F10" s="3" t="inlineStr">
        <is>
          <t>公式 A</t>
        </is>
      </c>
      <c r="G10" s="3" t="inlineStr"/>
    </row>
    <row r="11">
      <c r="A11" s="3" t="inlineStr">
        <is>
          <t>R08</t>
        </is>
      </c>
      <c r="B11" s="3" t="inlineStr">
        <is>
          <t>系統C 出缺席</t>
        </is>
      </c>
      <c r="C11" s="3" t="inlineStr">
        <is>
          <t>缺少學年學期</t>
        </is>
      </c>
      <c r="D11" s="3" t="inlineStr">
        <is>
          <t>只有日期</t>
        </is>
      </c>
      <c r="E11" s="3" t="inlineStr">
        <is>
          <t>自訂資料行，由日期推算</t>
        </is>
      </c>
      <c r="F11" s="3" t="inlineStr">
        <is>
          <t>公式 B</t>
        </is>
      </c>
      <c r="G11" s="3" t="inlineStr">
        <is>
          <t>1 月屬上一學年第 1 學期</t>
        </is>
      </c>
    </row>
    <row r="12">
      <c r="A12" s="3" t="inlineStr">
        <is>
          <t>R09</t>
        </is>
      </c>
      <c r="B12" s="3" t="inlineStr">
        <is>
          <t>系統B 段考</t>
        </is>
      </c>
      <c r="C12" s="3" t="inlineStr">
        <is>
          <t>逆透視丟掉空白</t>
        </is>
      </c>
      <c r="D12" s="3" t="inlineStr">
        <is>
          <t>未登錄的成績格</t>
        </is>
      </c>
      <c r="E12" s="3" t="inlineStr">
        <is>
          <t>逆透視前：取代值 null → 「未登錄」</t>
        </is>
      </c>
      <c r="F12" s="3" t="inlineStr"/>
      <c r="G12" s="3" t="inlineStr"/>
    </row>
    <row r="13">
      <c r="A13" s="3" t="inlineStr">
        <is>
          <t>R10</t>
        </is>
      </c>
      <c r="B13" s="3" t="inlineStr">
        <is>
          <t>系統B 段考／表單</t>
        </is>
      </c>
      <c r="C13" s="3" t="inlineStr">
        <is>
          <t>全形數字</t>
        </is>
      </c>
      <c r="D13" s="3" t="inlineStr">
        <is>
          <t>８５、１１１０２３</t>
        </is>
      </c>
      <c r="E13" s="3" t="inlineStr">
        <is>
          <t>自訂資料行</t>
        </is>
      </c>
      <c r="F13" s="3" t="inlineStr">
        <is>
          <t>公式 C</t>
        </is>
      </c>
      <c r="G13" s="3" t="inlineStr"/>
    </row>
    <row r="14">
      <c r="A14" s="3" t="inlineStr">
        <is>
          <t>R11</t>
        </is>
      </c>
      <c r="B14" s="3" t="inlineStr">
        <is>
          <t>系統B 段考</t>
        </is>
      </c>
      <c r="C14" s="3" t="inlineStr">
        <is>
          <t>特殊值</t>
        </is>
      </c>
      <c r="D14" s="3" t="inlineStr">
        <is>
          <t>缺、未登錄</t>
        </is>
      </c>
      <c r="E14" s="3" t="inlineStr">
        <is>
          <t>條件式資料行「狀態」＋成績只取正常</t>
        </is>
      </c>
      <c r="F14" s="3" t="inlineStr">
        <is>
          <t>公式 D</t>
        </is>
      </c>
      <c r="G14" s="3" t="inlineStr">
        <is>
          <t>缺考不可換成 0</t>
        </is>
      </c>
    </row>
    <row r="15">
      <c r="A15" s="3" t="inlineStr">
        <is>
          <t>R12</t>
        </is>
      </c>
      <c r="B15" s="3" t="inlineStr">
        <is>
          <t>系統D 學習歷程</t>
        </is>
      </c>
      <c r="C15" s="3" t="inlineStr">
        <is>
          <t>學年學期分兩欄</t>
        </is>
      </c>
      <c r="D15" s="3" t="inlineStr">
        <is>
          <t>學年度＝113、學期＝1</t>
        </is>
      </c>
      <c r="E15" s="3" t="inlineStr">
        <is>
          <t>自訂資料行</t>
        </is>
      </c>
      <c r="F15" s="3" t="inlineStr">
        <is>
          <t>公式 E</t>
        </is>
      </c>
      <c r="G15" s="3" t="inlineStr"/>
    </row>
    <row r="16">
      <c r="A16" s="3" t="inlineStr">
        <is>
          <t>R13</t>
        </is>
      </c>
      <c r="B16" s="3" t="inlineStr">
        <is>
          <t>系統D 學習歷程</t>
        </is>
      </c>
      <c r="C16" s="3" t="inlineStr">
        <is>
          <t>只有帳號</t>
        </is>
      </c>
      <c r="D16" s="3" t="inlineStr">
        <is>
          <t>s111023@…</t>
        </is>
      </c>
      <c r="E16" s="3" t="inlineStr">
        <is>
          <t>合併查詢身分對照（左方外部）</t>
        </is>
      </c>
      <c r="F16" s="3" t="inlineStr"/>
      <c r="G16" s="3" t="inlineStr">
        <is>
          <t>不要用公式拆帳號</t>
        </is>
      </c>
    </row>
    <row r="17">
      <c r="A17" s="3" t="inlineStr">
        <is>
          <t>R14</t>
        </is>
      </c>
      <c r="B17" s="3" t="inlineStr">
        <is>
          <t>全部</t>
        </is>
      </c>
      <c r="C17" s="3" t="inlineStr">
        <is>
          <t>班級寫法不一</t>
        </is>
      </c>
      <c r="D17" s="3" t="inlineStr">
        <is>
          <t>高三1班、三年一班、3年1班</t>
        </is>
      </c>
      <c r="E17" s="3" t="inlineStr">
        <is>
          <t>不用來源的班級欄；以學號接回名冊取班級</t>
        </is>
      </c>
      <c r="F17" s="3" t="inlineStr"/>
      <c r="G17" s="3" t="inlineStr">
        <is>
          <t>班級對照表只作核對</t>
        </is>
      </c>
    </row>
    <row r="18">
      <c r="A18" s="3" t="inlineStr">
        <is>
          <t>R15</t>
        </is>
      </c>
      <c r="B18" s="3" t="inlineStr">
        <is>
          <t>系統A 名冊</t>
        </is>
      </c>
      <c r="C18" s="3" t="inlineStr">
        <is>
          <t>個資欄位</t>
        </is>
      </c>
      <c r="D18" s="3" t="inlineStr">
        <is>
          <t>姓名、出生日期、戶籍地址</t>
        </is>
      </c>
      <c r="E18" s="3" t="inlineStr">
        <is>
          <t>第一步移除</t>
        </is>
      </c>
      <c r="F18" s="3" t="inlineStr"/>
      <c r="G18" s="3" t="inlineStr">
        <is>
          <t>最好在匯出時就不勾</t>
        </is>
      </c>
    </row>
    <row r="19">
      <c r="A19" s="3" t="inlineStr">
        <is>
          <t>R16</t>
        </is>
      </c>
      <c r="B19" s="3" t="inlineStr">
        <is>
          <t>表單</t>
        </is>
      </c>
      <c r="C19" s="3" t="inlineStr">
        <is>
          <t>學號手打</t>
        </is>
      </c>
      <c r="D19" s="3" t="inlineStr">
        <is>
          <t>111-023、S111023</t>
        </is>
      </c>
      <c r="E19" s="3" t="inlineStr">
        <is>
          <t>Text.Select 只留數字</t>
        </is>
      </c>
      <c r="F19" s="3" t="inlineStr">
        <is>
          <t>公式 F</t>
        </is>
      </c>
      <c r="G19" s="3" t="inlineStr">
        <is>
          <t>根本解法：表單限定學校帳號登入</t>
        </is>
      </c>
    </row>
    <row r="20">
      <c r="A20" s="3" t="inlineStr">
        <is>
          <t>R17</t>
        </is>
      </c>
      <c r="B20" s="3" t="inlineStr">
        <is>
          <t>表單</t>
        </is>
      </c>
      <c r="C20" s="3" t="inlineStr">
        <is>
          <t>重複提交</t>
        </is>
      </c>
      <c r="D20" s="3" t="inlineStr">
        <is>
          <t>同學號＋同活動送兩次</t>
        </is>
      </c>
      <c r="E20" s="3" t="inlineStr">
        <is>
          <t>依時間戳記遞減排序 → Table.Buffer → 移除重複</t>
        </is>
      </c>
      <c r="F20" s="3" t="inlineStr"/>
      <c r="G20" s="3" t="inlineStr">
        <is>
          <t>只留最後一次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0" customWidth="1" min="5" max="5"/>
    <col width="13" customWidth="1" min="6" max="6"/>
    <col width="10" customWidth="1" min="7" max="7"/>
    <col width="11" customWidth="1" min="8" max="8"/>
    <col width="10" customWidth="1" min="9" max="9"/>
    <col width="30" customWidth="1" min="10" max="10"/>
  </cols>
  <sheetData>
    <row r="1">
      <c r="A1" s="1" t="inlineStr">
        <is>
          <t>填入「最後更新日」即可；狀態依「允許天數」自動判斷（超過 80% 為即將逾期）。</t>
        </is>
      </c>
    </row>
    <row r="3">
      <c r="A3" s="4" t="inlineStr">
        <is>
          <t>來源</t>
        </is>
      </c>
      <c r="B3" s="4" t="inlineStr">
        <is>
          <t>負責處室</t>
        </is>
      </c>
      <c r="C3" s="4" t="inlineStr">
        <is>
          <t>負責人</t>
        </is>
      </c>
      <c r="D3" s="4" t="inlineStr">
        <is>
          <t>更新頻率</t>
        </is>
      </c>
      <c r="E3" s="4" t="inlineStr">
        <is>
          <t>允許天數</t>
        </is>
      </c>
      <c r="F3" s="4" t="inlineStr">
        <is>
          <t>最後更新日</t>
        </is>
      </c>
      <c r="G3" s="4" t="inlineStr">
        <is>
          <t>距今天數</t>
        </is>
      </c>
      <c r="H3" s="4" t="inlineStr">
        <is>
          <t>狀態</t>
        </is>
      </c>
      <c r="I3" s="4" t="inlineStr">
        <is>
          <t>最後筆數</t>
        </is>
      </c>
      <c r="J3" s="4" t="inlineStr">
        <is>
          <t>備註</t>
        </is>
      </c>
    </row>
    <row r="4">
      <c r="A4" t="inlineStr">
        <is>
          <t>系統A 學生名冊</t>
        </is>
      </c>
      <c r="B4" t="inlineStr">
        <is>
          <t>註冊組</t>
        </is>
      </c>
      <c r="C4" t="inlineStr"/>
      <c r="D4" t="inlineStr">
        <is>
          <t>每學期＋異動時</t>
        </is>
      </c>
      <c r="E4" t="n">
        <v>45</v>
      </c>
      <c r="F4" s="5" t="n">
        <v>45600</v>
      </c>
      <c r="G4">
        <f>IF(F4="","",TODAY()-F4)</f>
        <v/>
      </c>
      <c r="H4">
        <f>IF(F4="","未填",IF(G4&gt;E4,"逾期",IF(G4&gt;E4*0.8,"即將逾期","正常")))</f>
        <v/>
      </c>
      <c r="I4" t="n">
        <v>201</v>
      </c>
    </row>
    <row r="5">
      <c r="A5" t="inlineStr">
        <is>
          <t>系統B 段考成績</t>
        </is>
      </c>
      <c r="B5" t="inlineStr">
        <is>
          <t>註冊組</t>
        </is>
      </c>
      <c r="C5" t="inlineStr"/>
      <c r="D5" t="inlineStr">
        <is>
          <t>每次段考後 1 週</t>
        </is>
      </c>
      <c r="E5" t="n">
        <v>60</v>
      </c>
      <c r="F5" s="5" t="n">
        <v>45593</v>
      </c>
      <c r="G5">
        <f>IF(F5="","",TODAY()-F5)</f>
        <v/>
      </c>
      <c r="H5">
        <f>IF(F5="","未填",IF(G5&gt;E5,"逾期",IF(G5&gt;E5*0.8,"即將逾期","正常")))</f>
        <v/>
      </c>
      <c r="I5" t="n">
        <v>203</v>
      </c>
    </row>
    <row r="6">
      <c r="A6" t="inlineStr">
        <is>
          <t>系統C 出缺席</t>
        </is>
      </c>
      <c r="B6" t="inlineStr">
        <is>
          <t>生輔組</t>
        </is>
      </c>
      <c r="C6" t="inlineStr"/>
      <c r="D6" t="inlineStr">
        <is>
          <t>每月 5 日前</t>
        </is>
      </c>
      <c r="E6" t="n">
        <v>35</v>
      </c>
      <c r="F6" s="5" t="n">
        <v>45601</v>
      </c>
      <c r="G6">
        <f>IF(F6="","",TODAY()-F6)</f>
        <v/>
      </c>
      <c r="H6">
        <f>IF(F6="","未填",IF(G6&gt;E6,"逾期",IF(G6&gt;E6*0.8,"即將逾期","正常")))</f>
        <v/>
      </c>
      <c r="I6" t="n">
        <v>141</v>
      </c>
    </row>
    <row r="7">
      <c r="A7" t="inlineStr">
        <is>
          <t>系統D 學習歷程</t>
        </is>
      </c>
      <c r="B7" t="inlineStr">
        <is>
          <t>教務處</t>
        </is>
      </c>
      <c r="C7" t="inlineStr"/>
      <c r="D7" t="inlineStr">
        <is>
          <t>繳交截止後</t>
        </is>
      </c>
      <c r="E7" t="n">
        <v>60</v>
      </c>
      <c r="F7" s="5" t="n">
        <v>45580</v>
      </c>
      <c r="G7">
        <f>IF(F7="","",TODAY()-F7)</f>
        <v/>
      </c>
      <c r="H7">
        <f>IF(F7="","未填",IF(G7&gt;E7,"逾期",IF(G7&gt;E7*0.8,"即將逾期","正常")))</f>
        <v/>
      </c>
      <c r="I7" t="n">
        <v>201</v>
      </c>
    </row>
    <row r="8">
      <c r="A8" t="inlineStr">
        <is>
          <t>身分對照表</t>
        </is>
      </c>
      <c r="B8" t="inlineStr">
        <is>
          <t>資訊組</t>
        </is>
      </c>
      <c r="C8" t="inlineStr"/>
      <c r="D8" t="inlineStr">
        <is>
          <t>異動時</t>
        </is>
      </c>
      <c r="E8" t="n">
        <v>30</v>
      </c>
      <c r="F8" s="5" t="n">
        <v>45530</v>
      </c>
      <c r="G8">
        <f>IF(F8="","",TODAY()-F8)</f>
        <v/>
      </c>
      <c r="H8">
        <f>IF(F8="","未填",IF(G8&gt;E8,"逾期",IF(G8&gt;E8*0.8,"即將逾期","正常")))</f>
        <v/>
      </c>
      <c r="I8" t="n">
        <v>203</v>
      </c>
    </row>
    <row r="9">
      <c r="A9" t="inlineStr">
        <is>
          <t>班級對照表</t>
        </is>
      </c>
      <c r="B9" t="inlineStr">
        <is>
          <t>教學組</t>
        </is>
      </c>
      <c r="C9" t="inlineStr"/>
      <c r="D9" t="inlineStr">
        <is>
          <t>每學年</t>
        </is>
      </c>
      <c r="E9" t="n">
        <v>365</v>
      </c>
      <c r="F9" s="5" t="n">
        <v>45530</v>
      </c>
      <c r="G9">
        <f>IF(F9="","",TODAY()-F9)</f>
        <v/>
      </c>
      <c r="H9">
        <f>IF(F9="","未填",IF(G9&gt;E9,"逾期",IF(G9&gt;E9*0.8,"即將逾期","正常")))</f>
        <v/>
      </c>
      <c r="I9" t="n">
        <v>5</v>
      </c>
    </row>
  </sheetData>
  <conditionalFormatting sqref="H4:H60">
    <cfRule type="expression" priority="1" dxfId="2">
      <formula>H4="正常"</formula>
    </cfRule>
    <cfRule type="expression" priority="2" dxfId="1">
      <formula>H4="即將逾期"</formula>
    </cfRule>
    <cfRule type="expression" priority="3" dxfId="0">
      <formula>OR(H4="逾期",H4="未填")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8" customWidth="1" min="3" max="3"/>
    <col width="36" customWidth="1" min="4" max="4"/>
  </cols>
  <sheetData>
    <row r="1">
      <c r="A1" s="2" t="inlineStr">
        <is>
          <t>時間點</t>
        </is>
      </c>
      <c r="B1" s="2" t="inlineStr">
        <is>
          <t>工作</t>
        </is>
      </c>
      <c r="C1" s="2" t="inlineStr">
        <is>
          <t>負責</t>
        </is>
      </c>
      <c r="D1" s="2" t="inlineStr">
        <is>
          <t>備註</t>
        </is>
      </c>
    </row>
    <row r="2">
      <c r="A2" s="3" t="inlineStr">
        <is>
          <t>開學第 2 週</t>
        </is>
      </c>
      <c r="B2" s="3" t="inlineStr">
        <is>
          <t>名冊更新、身分對照更新</t>
        </is>
      </c>
      <c r="C2" s="3" t="inlineStr">
        <is>
          <t>註冊組、資訊組</t>
        </is>
      </c>
      <c r="D2" s="3" t="inlineStr">
        <is>
          <t>轉入生帳號同步建立</t>
        </is>
      </c>
    </row>
    <row r="3">
      <c r="A3" s="3" t="inlineStr">
        <is>
          <t>每月 5 日前</t>
        </is>
      </c>
      <c r="B3" s="3" t="inlineStr">
        <is>
          <t>上個月出缺席匯出，放進原始區</t>
        </is>
      </c>
      <c r="C3" s="3" t="inlineStr">
        <is>
          <t>生輔組</t>
        </is>
      </c>
      <c r="D3" s="3" t="inlineStr">
        <is>
          <t>檔名：系統C_出缺席_民國年月.csv</t>
        </is>
      </c>
    </row>
    <row r="4">
      <c r="A4" s="3" t="inlineStr">
        <is>
          <t>段考後 1 週</t>
        </is>
      </c>
      <c r="B4" s="3" t="inlineStr">
        <is>
          <t>段考成績匯出</t>
        </is>
      </c>
      <c r="C4" s="3" t="inlineStr">
        <is>
          <t>註冊組</t>
        </is>
      </c>
      <c r="D4" s="3" t="inlineStr">
        <is>
          <t>未登錄成績請任課教師補登</t>
        </is>
      </c>
    </row>
    <row r="5">
      <c r="A5" s="3" t="inlineStr">
        <is>
          <t>學習歷程繳交截止後</t>
        </is>
      </c>
      <c r="B5" s="3" t="inlineStr">
        <is>
          <t>學習歷程上傳統計匯出</t>
        </is>
      </c>
      <c r="C5" s="3" t="inlineStr">
        <is>
          <t>教務處</t>
        </is>
      </c>
      <c r="D5" s="3" t="inlineStr"/>
    </row>
    <row r="6">
      <c r="A6" s="3" t="inlineStr">
        <is>
          <t>每次轉學異動</t>
        </is>
      </c>
      <c r="B6" s="3" t="inlineStr">
        <is>
          <t>身分對照、名冊同步更新</t>
        </is>
      </c>
      <c r="C6" s="3" t="inlineStr">
        <is>
          <t>註冊組、資訊組</t>
        </is>
      </c>
      <c r="D6" s="3" t="inlineStr"/>
    </row>
    <row r="7">
      <c r="A7" s="3" t="inlineStr">
        <is>
          <t>學期末</t>
        </is>
      </c>
      <c r="B7" s="3" t="inlineStr">
        <is>
          <t>名冊快照另存、原始區與對照表備份</t>
        </is>
      </c>
      <c r="C7" s="3" t="inlineStr">
        <is>
          <t>註冊組、資訊組</t>
        </is>
      </c>
      <c r="D7" s="3" t="inlineStr">
        <is>
          <t>檔名：名冊快照_113-1.xlsx</t>
        </is>
      </c>
    </row>
    <row r="8">
      <c r="A8" s="3" t="inlineStr">
        <is>
          <t>每學年</t>
        </is>
      </c>
      <c r="B8" s="3" t="inlineStr">
        <is>
          <t>演練一次備份還原；檢視保存期限</t>
        </is>
      </c>
      <c r="C8" s="3" t="inlineStr">
        <is>
          <t>資訊組</t>
        </is>
      </c>
      <c r="D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2026-09-27T10:45:47Z</dcterms:created>
  <dcterms:modified xmlns:dcterms="http://purl.org/dc/terms/" xmlns:xsi="http://www.w3.org/2001/XMLSchema-instance" xsi:type="dcterms:W3CDTF">2026-09-27T10:45:47Z</dcterms:modified>
</cp:coreProperties>
</file>